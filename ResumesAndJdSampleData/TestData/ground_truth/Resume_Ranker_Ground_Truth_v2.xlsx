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 Truth" sheetId="1" state="visible" r:id="rId1"/>
    <sheet xmlns:r="http://schemas.openxmlformats.org/officeDocument/2006/relationships" name="Your Results" sheetId="2" state="visible" r:id="rId2"/>
    <sheet xmlns:r="http://schemas.openxmlformats.org/officeDocument/2006/relationships" name="Summary by JD" sheetId="3" state="visible" r:id="rId3"/>
    <sheet xmlns:r="http://schemas.openxmlformats.org/officeDocument/2006/relationships" name="Scoring Rubr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b5e20"/>
      <sz val="9"/>
    </font>
    <font>
      <name val="Arial"/>
      <b val="1"/>
      <color rgb="00b71c1c"/>
      <sz val="9"/>
    </font>
    <font>
      <name val="Arial"/>
      <b val="1"/>
      <color rgb="00e65100"/>
      <sz val="9"/>
    </font>
    <font>
      <name val="Arial"/>
      <b val="1"/>
      <color rgb="001a3c6e"/>
      <sz val="13"/>
    </font>
  </fonts>
  <fills count="11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0d5c2e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eef2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10" customWidth="1" min="4" max="4"/>
    <col width="22" customWidth="1" min="5" max="5"/>
    <col width="28" customWidth="1" min="6" max="6"/>
    <col width="13" customWidth="1" min="7" max="7"/>
    <col width="10" customWidth="1" min="8" max="8"/>
    <col width="9" customWidth="1" min="9" max="9"/>
    <col width="11" customWidth="1" min="10" max="10"/>
    <col width="9" customWidth="1" min="11" max="11"/>
    <col width="8" customWidth="1" min="12" max="12"/>
    <col width="10" customWidth="1" min="13" max="13"/>
    <col width="9" customWidth="1" min="14" max="14"/>
    <col width="65" customWidth="1" min="15" max="15"/>
  </cols>
  <sheetData>
    <row r="1" ht="38" customHeight="1">
      <c r="A1" s="1" t="inlineStr">
        <is>
          <t>JD ID</t>
        </is>
      </c>
      <c r="B1" s="1" t="inlineStr">
        <is>
          <t>JD Title</t>
        </is>
      </c>
      <c r="C1" s="1" t="inlineStr">
        <is>
          <t>JD File (PDF)</t>
        </is>
      </c>
      <c r="D1" s="1" t="inlineStr">
        <is>
          <t>Resume ID</t>
        </is>
      </c>
      <c r="E1" s="1" t="inlineStr">
        <is>
          <t>Candidate</t>
        </is>
      </c>
      <c r="F1" s="1" t="inlineStr">
        <is>
          <t>Resume File (PDF)</t>
        </is>
      </c>
      <c r="G1" s="1" t="inlineStr">
        <is>
          <t>Match Level</t>
        </is>
      </c>
      <c r="H1" s="1" t="inlineStr">
        <is>
          <t>Total
(100)</t>
        </is>
      </c>
      <c r="I1" s="1" t="inlineStr">
        <is>
          <t>Exp
(25)</t>
        </is>
      </c>
      <c r="J1" s="1" t="inlineStr">
        <is>
          <t>Tech Skills
(30)</t>
        </is>
      </c>
      <c r="K1" s="1" t="inlineStr">
        <is>
          <t>Certs
(15)</t>
        </is>
      </c>
      <c r="L1" s="1" t="inlineStr">
        <is>
          <t>Edu
(10)</t>
        </is>
      </c>
      <c r="M1" s="1" t="inlineStr">
        <is>
          <t>Location
(10)</t>
        </is>
      </c>
      <c r="N1" s="1" t="inlineStr">
        <is>
          <t>Domain
(10)</t>
        </is>
      </c>
      <c r="O1" s="1" t="inlineStr">
        <is>
          <t>GT Scoring Reason</t>
        </is>
      </c>
    </row>
    <row r="2" ht="28" customHeight="1">
      <c r="A2" s="2" t="inlineStr">
        <is>
          <t>JD001</t>
        </is>
      </c>
      <c r="B2" s="2" t="inlineStr">
        <is>
          <t>Software Engineer</t>
        </is>
      </c>
      <c r="C2" s="2" t="inlineStr">
        <is>
          <t>JD001_Software_Engineer.pdf</t>
        </is>
      </c>
      <c r="D2" s="2" t="inlineStr">
        <is>
          <t>R001</t>
        </is>
      </c>
      <c r="E2" s="2" t="inlineStr">
        <is>
          <t>Arjun Mehta</t>
        </is>
      </c>
      <c r="F2" s="2" t="inlineStr">
        <is>
          <t>R001_Arjun_Mehta.pdf</t>
        </is>
      </c>
      <c r="G2" s="2" t="inlineStr">
        <is>
          <t>Strong</t>
        </is>
      </c>
      <c r="H2" s="3" t="n">
        <v>92</v>
      </c>
      <c r="I2" s="2" t="n">
        <v>25</v>
      </c>
      <c r="J2" s="2" t="n">
        <v>29</v>
      </c>
      <c r="K2" s="2" t="n">
        <v>8</v>
      </c>
      <c r="L2" s="2" t="n">
        <v>10</v>
      </c>
      <c r="M2" s="2" t="n">
        <v>10</v>
      </c>
      <c r="N2" s="2" t="n">
        <v>10</v>
      </c>
      <c r="O2" s="4" t="inlineStr">
        <is>
          <t>4yr FastAPI/Python/PostgreSQL/Redis/Docker/AWS exactly matches JD. 1 cert (AWS Dev Assoc) present, CSA absent. NIT grad. Hyderabad match.</t>
        </is>
      </c>
    </row>
    <row r="3" ht="28" customHeight="1">
      <c r="A3" s="2" t="inlineStr">
        <is>
          <t>JD001</t>
        </is>
      </c>
      <c r="B3" s="2" t="inlineStr">
        <is>
          <t>Software Engineer</t>
        </is>
      </c>
      <c r="C3" s="2" t="inlineStr">
        <is>
          <t>JD001_Software_Engineer.pdf</t>
        </is>
      </c>
      <c r="D3" s="2" t="inlineStr">
        <is>
          <t>R002</t>
        </is>
      </c>
      <c r="E3" s="2" t="inlineStr">
        <is>
          <t>Priya Nair</t>
        </is>
      </c>
      <c r="F3" s="2" t="inlineStr">
        <is>
          <t>R002_Priya_Nair.pdf</t>
        </is>
      </c>
      <c r="G3" s="2" t="inlineStr">
        <is>
          <t>Strong</t>
        </is>
      </c>
      <c r="H3" s="3" t="n">
        <v>82</v>
      </c>
      <c r="I3" s="2" t="n">
        <v>25</v>
      </c>
      <c r="J3" s="2" t="n">
        <v>28</v>
      </c>
      <c r="K3" s="2" t="n">
        <v>3</v>
      </c>
      <c r="L3" s="2" t="n">
        <v>10</v>
      </c>
      <c r="M3" s="2" t="n">
        <v>6</v>
      </c>
      <c r="N3" s="2" t="n">
        <v>10</v>
      </c>
      <c r="O3" s="4" t="inlineStr">
        <is>
          <t>5yr Java Spring Boot + Python Django, MySQL/PostgreSQL, Kafka, Docker/AWS. No certs listed. VTU grad. Bangalore - JD is Hyderabad hybrid (open).</t>
        </is>
      </c>
    </row>
    <row r="4" ht="28" customHeight="1">
      <c r="A4" s="5" t="inlineStr">
        <is>
          <t>JD001</t>
        </is>
      </c>
      <c r="B4" s="5" t="inlineStr">
        <is>
          <t>Software Engineer</t>
        </is>
      </c>
      <c r="C4" s="5" t="inlineStr">
        <is>
          <t>JD001_Software_Engineer.pdf</t>
        </is>
      </c>
      <c r="D4" s="5" t="inlineStr">
        <is>
          <t>R003</t>
        </is>
      </c>
      <c r="E4" s="5" t="inlineStr">
        <is>
          <t>Rohit Sharma</t>
        </is>
      </c>
      <c r="F4" s="5" t="inlineStr">
        <is>
          <t>R003_Rohit_Sharma.pdf</t>
        </is>
      </c>
      <c r="G4" s="5" t="inlineStr">
        <is>
          <t>Medium</t>
        </is>
      </c>
      <c r="H4" s="6" t="n">
        <v>41</v>
      </c>
      <c r="I4" s="5" t="n">
        <v>10</v>
      </c>
      <c r="J4" s="5" t="n">
        <v>14</v>
      </c>
      <c r="K4" s="5" t="n">
        <v>0</v>
      </c>
      <c r="L4" s="5" t="n">
        <v>10</v>
      </c>
      <c r="M4" s="5" t="n">
        <v>3</v>
      </c>
      <c r="N4" s="5" t="n">
        <v>4</v>
      </c>
      <c r="O4" s="7" t="inlineStr">
        <is>
          <t>JD requires Python/Java backend; resume is Node.js + React fullstack. MongoDB primary (not PostgreSQL/MySQL). 3yr but frontend-heavy. Mumbai vs Hyderabad, no relocation mention.</t>
        </is>
      </c>
    </row>
    <row r="5" ht="28" customHeight="1">
      <c r="A5" s="5" t="inlineStr">
        <is>
          <t>JD001</t>
        </is>
      </c>
      <c r="B5" s="5" t="inlineStr">
        <is>
          <t>Software Engineer</t>
        </is>
      </c>
      <c r="C5" s="5" t="inlineStr">
        <is>
          <t>JD001_Software_Engineer.pdf</t>
        </is>
      </c>
      <c r="D5" s="5" t="inlineStr">
        <is>
          <t>R004</t>
        </is>
      </c>
      <c r="E5" s="5" t="inlineStr">
        <is>
          <t>Sneha Patel</t>
        </is>
      </c>
      <c r="F5" s="5" t="inlineStr">
        <is>
          <t>R004_Sneha_Patel.pdf</t>
        </is>
      </c>
      <c r="G5" s="5" t="inlineStr">
        <is>
          <t>Medium</t>
        </is>
      </c>
      <c r="H5" s="6" t="n">
        <v>42</v>
      </c>
      <c r="I5" s="5" t="n">
        <v>10</v>
      </c>
      <c r="J5" s="5" t="n">
        <v>15</v>
      </c>
      <c r="K5" s="5" t="n">
        <v>0</v>
      </c>
      <c r="L5" s="5" t="n">
        <v>10</v>
      </c>
      <c r="M5" s="5" t="n">
        <v>3</v>
      </c>
      <c r="N5" s="5" t="n">
        <v>4</v>
      </c>
      <c r="O5" s="7" t="inlineStr">
        <is>
          <t>Flask Python backend relevant but JD wants Django/FastAPI. 3.5yr but mixed fullstack. No Redis/Kafka/Docker depth. Ahmedabad vs Hyderabad.</t>
        </is>
      </c>
    </row>
    <row r="6" ht="28" customHeight="1">
      <c r="A6" s="8" t="inlineStr">
        <is>
          <t>JD001</t>
        </is>
      </c>
      <c r="B6" s="8" t="inlineStr">
        <is>
          <t>Software Engineer</t>
        </is>
      </c>
      <c r="C6" s="8" t="inlineStr">
        <is>
          <t>JD001_Software_Engineer.pdf</t>
        </is>
      </c>
      <c r="D6" s="8" t="inlineStr">
        <is>
          <t>R005</t>
        </is>
      </c>
      <c r="E6" s="8" t="inlineStr">
        <is>
          <t>Karan Joshi</t>
        </is>
      </c>
      <c r="F6" s="8" t="inlineStr">
        <is>
          <t>R005_Karan_Joshi.pdf</t>
        </is>
      </c>
      <c r="G6" s="8" t="inlineStr">
        <is>
          <t>Weak</t>
        </is>
      </c>
      <c r="H6" s="9" t="n">
        <v>22</v>
      </c>
      <c r="I6" s="8" t="n">
        <v>4</v>
      </c>
      <c r="J6" s="8" t="n">
        <v>4</v>
      </c>
      <c r="K6" s="8" t="n">
        <v>0</v>
      </c>
      <c r="L6" s="8" t="n">
        <v>10</v>
      </c>
      <c r="M6" s="8" t="n">
        <v>3</v>
      </c>
      <c r="N6" s="8" t="n">
        <v>1</v>
      </c>
      <c r="O6" s="10" t="inlineStr">
        <is>
          <t>Android developer only. JD requires backend REST API server-side dev; resume shows Kotlin/Android SDK/Retrofit (client-side only). No Python/Java backend, no SQL at server level. Delhi vs Hyderabad.</t>
        </is>
      </c>
    </row>
    <row r="7" ht="28" customHeight="1">
      <c r="A7" s="8" t="inlineStr">
        <is>
          <t>JD001</t>
        </is>
      </c>
      <c r="B7" s="8" t="inlineStr">
        <is>
          <t>Software Engineer</t>
        </is>
      </c>
      <c r="C7" s="8" t="inlineStr">
        <is>
          <t>JD001_Software_Engineer.pdf</t>
        </is>
      </c>
      <c r="D7" s="8" t="inlineStr">
        <is>
          <t>R006</t>
        </is>
      </c>
      <c r="E7" s="8" t="inlineStr">
        <is>
          <t>Anita Rao</t>
        </is>
      </c>
      <c r="F7" s="8" t="inlineStr">
        <is>
          <t>R006_Anita_Rao.pdf</t>
        </is>
      </c>
      <c r="G7" s="8" t="inlineStr">
        <is>
          <t>Weak</t>
        </is>
      </c>
      <c r="H7" s="9" t="n">
        <v>21</v>
      </c>
      <c r="I7" s="8" t="n">
        <v>0</v>
      </c>
      <c r="J7" s="8" t="n">
        <v>3</v>
      </c>
      <c r="K7" s="8" t="n">
        <v>0</v>
      </c>
      <c r="L7" s="8" t="n">
        <v>7</v>
      </c>
      <c r="M7" s="8" t="n">
        <v>10</v>
      </c>
      <c r="N7" s="8" t="n">
        <v>1</v>
      </c>
      <c r="O7" s="10" t="inlineStr">
        <is>
          <t>QA engineer, not a developer. JD requires building APIs; resume shows testing APIs with Postman. Python only for test scripts. Hyderabad match but completely wrong role type.</t>
        </is>
      </c>
    </row>
    <row r="8" ht="28" customHeight="1">
      <c r="A8" s="2" t="inlineStr">
        <is>
          <t>JD002</t>
        </is>
      </c>
      <c r="B8" s="2" t="inlineStr">
        <is>
          <t>AI Engineer</t>
        </is>
      </c>
      <c r="C8" s="2" t="inlineStr">
        <is>
          <t>JD002_AI_Engineer.pdf</t>
        </is>
      </c>
      <c r="D8" s="2" t="inlineStr">
        <is>
          <t>R007</t>
        </is>
      </c>
      <c r="E8" s="2" t="inlineStr">
        <is>
          <t>Vikram Iyer</t>
        </is>
      </c>
      <c r="F8" s="2" t="inlineStr">
        <is>
          <t>R007_Vikram_Iyer.pdf</t>
        </is>
      </c>
      <c r="G8" s="2" t="inlineStr">
        <is>
          <t>Strong</t>
        </is>
      </c>
      <c r="H8" s="3" t="n">
        <v>93</v>
      </c>
      <c r="I8" s="2" t="n">
        <v>25</v>
      </c>
      <c r="J8" s="2" t="n">
        <v>30</v>
      </c>
      <c r="K8" s="2" t="n">
        <v>8</v>
      </c>
      <c r="L8" s="2" t="n">
        <v>10</v>
      </c>
      <c r="M8" s="2" t="n">
        <v>10</v>
      </c>
      <c r="N8" s="2" t="n">
        <v>10</v>
      </c>
      <c r="O8" s="4" t="inlineStr">
        <is>
          <t>3yr RAG pipelines, LangChain, LlamaIndex, Pinecone, FAISS, QLoRA fine-tuning, MLflow, SageMaker. All required skills met. M.Tech AI IIT. Bangalore exact match.</t>
        </is>
      </c>
    </row>
    <row r="9" ht="28" customHeight="1">
      <c r="A9" s="2" t="inlineStr">
        <is>
          <t>JD002</t>
        </is>
      </c>
      <c r="B9" s="2" t="inlineStr">
        <is>
          <t>AI Engineer</t>
        </is>
      </c>
      <c r="C9" s="2" t="inlineStr">
        <is>
          <t>JD002_AI_Engineer.pdf</t>
        </is>
      </c>
      <c r="D9" s="2" t="inlineStr">
        <is>
          <t>R008</t>
        </is>
      </c>
      <c r="E9" s="2" t="inlineStr">
        <is>
          <t>Divya Krishnan</t>
        </is>
      </c>
      <c r="F9" s="2" t="inlineStr">
        <is>
          <t>R008_Divya_Krishnan.pdf</t>
        </is>
      </c>
      <c r="G9" s="2" t="inlineStr">
        <is>
          <t>Strong</t>
        </is>
      </c>
      <c r="H9" s="11" t="n">
        <v>71</v>
      </c>
      <c r="I9" s="2" t="n">
        <v>18</v>
      </c>
      <c r="J9" s="2" t="n">
        <v>27</v>
      </c>
      <c r="K9" s="2" t="n">
        <v>3</v>
      </c>
      <c r="L9" s="2" t="n">
        <v>10</v>
      </c>
      <c r="M9" s="2" t="n">
        <v>3</v>
      </c>
      <c r="N9" s="2" t="n">
        <v>10</v>
      </c>
      <c r="O9" s="4" t="inlineStr">
        <is>
          <t>2.5yr LLM+RAG+prompt engineering strong. GPT-4/Claude/FAISS/LangChain. No fine-tuning (LoRA) explicitly stated. No MLOps certs. Anna Univ grad. Chennai vs Bangalore on-site.</t>
        </is>
      </c>
    </row>
    <row r="10" ht="28" customHeight="1">
      <c r="A10" s="5" t="inlineStr">
        <is>
          <t>JD002</t>
        </is>
      </c>
      <c r="B10" s="5" t="inlineStr">
        <is>
          <t>AI Engineer</t>
        </is>
      </c>
      <c r="C10" s="5" t="inlineStr">
        <is>
          <t>JD002_AI_Engineer.pdf</t>
        </is>
      </c>
      <c r="D10" s="5" t="inlineStr">
        <is>
          <t>R009</t>
        </is>
      </c>
      <c r="E10" s="5" t="inlineStr">
        <is>
          <t>Amar Singh</t>
        </is>
      </c>
      <c r="F10" s="5" t="inlineStr">
        <is>
          <t>R009_Amar_Singh.pdf</t>
        </is>
      </c>
      <c r="G10" s="5" t="inlineStr">
        <is>
          <t>Medium</t>
        </is>
      </c>
      <c r="H10" s="6" t="n">
        <v>39</v>
      </c>
      <c r="I10" s="5" t="n">
        <v>10</v>
      </c>
      <c r="J10" s="5" t="n">
        <v>12</v>
      </c>
      <c r="K10" s="5" t="n">
        <v>3</v>
      </c>
      <c r="L10" s="5" t="n">
        <v>7</v>
      </c>
      <c r="M10" s="5" t="n">
        <v>3</v>
      </c>
      <c r="N10" s="5" t="n">
        <v>4</v>
      </c>
      <c r="O10" s="7" t="inlineStr">
        <is>
          <t>JD requires LangChain/LlamaIndex/vector DBs hands-on; resume states LangChain 'learning', OpenAI 'basic'. RAG only a prototype. Traditional ML primary. Pune vs Bangalore on-site.</t>
        </is>
      </c>
    </row>
    <row r="11" ht="28" customHeight="1">
      <c r="A11" s="5" t="inlineStr">
        <is>
          <t>JD002</t>
        </is>
      </c>
      <c r="B11" s="5" t="inlineStr">
        <is>
          <t>AI Engineer</t>
        </is>
      </c>
      <c r="C11" s="5" t="inlineStr">
        <is>
          <t>JD002_AI_Engineer.pdf</t>
        </is>
      </c>
      <c r="D11" s="5" t="inlineStr">
        <is>
          <t>R010</t>
        </is>
      </c>
      <c r="E11" s="5" t="inlineStr">
        <is>
          <t>Neha Gupta</t>
        </is>
      </c>
      <c r="F11" s="5" t="inlineStr">
        <is>
          <t>R010_Neha_Gupta.pdf</t>
        </is>
      </c>
      <c r="G11" s="5" t="inlineStr">
        <is>
          <t>Medium</t>
        </is>
      </c>
      <c r="H11" s="12" t="n">
        <v>47</v>
      </c>
      <c r="I11" s="5" t="n">
        <v>10</v>
      </c>
      <c r="J11" s="5" t="n">
        <v>14</v>
      </c>
      <c r="K11" s="5" t="n">
        <v>3</v>
      </c>
      <c r="L11" s="5" t="n">
        <v>10</v>
      </c>
      <c r="M11" s="5" t="n">
        <v>3</v>
      </c>
      <c r="N11" s="5" t="n">
        <v>7</v>
      </c>
      <c r="O11" s="7" t="inlineStr">
        <is>
          <t>Research LLM background relevant but JD is production AI. No LangChain/vector DB/RAG production experience. Fine-tuning present but academic only. M.Tech AI IIT. Delhi vs Bangalore on-site.</t>
        </is>
      </c>
    </row>
    <row r="12" ht="28" customHeight="1">
      <c r="A12" s="8" t="inlineStr">
        <is>
          <t>JD002</t>
        </is>
      </c>
      <c r="B12" s="8" t="inlineStr">
        <is>
          <t>AI Engineer</t>
        </is>
      </c>
      <c r="C12" s="8" t="inlineStr">
        <is>
          <t>JD002_AI_Engineer.pdf</t>
        </is>
      </c>
      <c r="D12" s="8" t="inlineStr">
        <is>
          <t>R011</t>
        </is>
      </c>
      <c r="E12" s="8" t="inlineStr">
        <is>
          <t>Rajesh Babu</t>
        </is>
      </c>
      <c r="F12" s="8" t="inlineStr">
        <is>
          <t>R011_Rajesh_Babu.pdf</t>
        </is>
      </c>
      <c r="G12" s="8" t="inlineStr">
        <is>
          <t>Weak</t>
        </is>
      </c>
      <c r="H12" s="9" t="n">
        <v>15</v>
      </c>
      <c r="I12" s="8" t="n">
        <v>0</v>
      </c>
      <c r="J12" s="8" t="n">
        <v>0</v>
      </c>
      <c r="K12" s="8" t="n">
        <v>0</v>
      </c>
      <c r="L12" s="8" t="n">
        <v>4</v>
      </c>
      <c r="M12" s="8" t="n">
        <v>10</v>
      </c>
      <c r="N12" s="8" t="n">
        <v>1</v>
      </c>
      <c r="O12" s="10" t="inlineStr">
        <is>
          <t>Business analyst. Zero AI/ML engineering skills. JD requires Python, LLMs, RAG - none present. MBA only. Hyderabad matches but role is entirely wrong domain.</t>
        </is>
      </c>
    </row>
    <row r="13" ht="28" customHeight="1">
      <c r="A13" s="8" t="inlineStr">
        <is>
          <t>JD002</t>
        </is>
      </c>
      <c r="B13" s="8" t="inlineStr">
        <is>
          <t>AI Engineer</t>
        </is>
      </c>
      <c r="C13" s="8" t="inlineStr">
        <is>
          <t>JD002_AI_Engineer.pdf</t>
        </is>
      </c>
      <c r="D13" s="8" t="inlineStr">
        <is>
          <t>R012</t>
        </is>
      </c>
      <c r="E13" s="8" t="inlineStr">
        <is>
          <t>Pooja Menon</t>
        </is>
      </c>
      <c r="F13" s="8" t="inlineStr">
        <is>
          <t>R012_Pooja_Menon.pdf</t>
        </is>
      </c>
      <c r="G13" s="8" t="inlineStr">
        <is>
          <t>Weak</t>
        </is>
      </c>
      <c r="H13" s="9" t="n">
        <v>10</v>
      </c>
      <c r="I13" s="8" t="n">
        <v>0</v>
      </c>
      <c r="J13" s="8" t="n">
        <v>0</v>
      </c>
      <c r="K13" s="8" t="n">
        <v>0</v>
      </c>
      <c r="L13" s="8" t="n">
        <v>7</v>
      </c>
      <c r="M13" s="8" t="n">
        <v>3</v>
      </c>
      <c r="N13" s="8" t="n">
        <v>0</v>
      </c>
      <c r="O13" s="10" t="inlineStr">
        <is>
          <t>UX designer. No engineering skills at all. JD requires Python, LLMs, vector DBs, MLOps - none present. B.Des NID is design degree. Kochi vs Bangalore on-site.</t>
        </is>
      </c>
    </row>
    <row r="14" ht="28" customHeight="1">
      <c r="A14" s="2" t="inlineStr">
        <is>
          <t>JD003</t>
        </is>
      </c>
      <c r="B14" s="2" t="inlineStr">
        <is>
          <t>Data Engineer</t>
        </is>
      </c>
      <c r="C14" s="2" t="inlineStr">
        <is>
          <t>JD003_Data_Engineer.pdf</t>
        </is>
      </c>
      <c r="D14" s="2" t="inlineStr">
        <is>
          <t>R013</t>
        </is>
      </c>
      <c r="E14" s="2" t="inlineStr">
        <is>
          <t>Suresh Reddy</t>
        </is>
      </c>
      <c r="F14" s="2" t="inlineStr">
        <is>
          <t>R013_Suresh_Reddy.pdf</t>
        </is>
      </c>
      <c r="G14" s="2" t="inlineStr">
        <is>
          <t>Strong</t>
        </is>
      </c>
      <c r="H14" s="3" t="n">
        <v>81</v>
      </c>
      <c r="I14" s="2" t="n">
        <v>25</v>
      </c>
      <c r="J14" s="2" t="n">
        <v>30</v>
      </c>
      <c r="K14" s="2" t="n">
        <v>3</v>
      </c>
      <c r="L14" s="2" t="n">
        <v>10</v>
      </c>
      <c r="M14" s="2" t="n">
        <v>3</v>
      </c>
      <c r="N14" s="2" t="n">
        <v>10</v>
      </c>
      <c r="O14" s="4" t="inlineStr">
        <is>
          <t>4yr Spark/PySpark, Airflow, Snowflake, dbt, Kafka, Redshift, S3. All required skills present with production scale. No formal DE certs listed. B.Tech CS. Hyderabad vs Pune hybrid.</t>
        </is>
      </c>
    </row>
    <row r="15" ht="28" customHeight="1">
      <c r="A15" s="2" t="inlineStr">
        <is>
          <t>JD003</t>
        </is>
      </c>
      <c r="B15" s="2" t="inlineStr">
        <is>
          <t>Data Engineer</t>
        </is>
      </c>
      <c r="C15" s="2" t="inlineStr">
        <is>
          <t>JD003_Data_Engineer.pdf</t>
        </is>
      </c>
      <c r="D15" s="2" t="inlineStr">
        <is>
          <t>R014</t>
        </is>
      </c>
      <c r="E15" s="2" t="inlineStr">
        <is>
          <t>Kavitha Subramanian</t>
        </is>
      </c>
      <c r="F15" s="2" t="inlineStr">
        <is>
          <t>R014_Kavitha_Subramanian.pdf</t>
        </is>
      </c>
      <c r="G15" s="2" t="inlineStr">
        <is>
          <t>Strong</t>
        </is>
      </c>
      <c r="H15" s="3" t="n">
        <v>80</v>
      </c>
      <c r="I15" s="2" t="n">
        <v>25</v>
      </c>
      <c r="J15" s="2" t="n">
        <v>29</v>
      </c>
      <c r="K15" s="2" t="n">
        <v>3</v>
      </c>
      <c r="L15" s="2" t="n">
        <v>10</v>
      </c>
      <c r="M15" s="2" t="n">
        <v>3</v>
      </c>
      <c r="N15" s="2" t="n">
        <v>10</v>
      </c>
      <c r="O15" s="4" t="inlineStr">
        <is>
          <t>4.5yr GCP Dataflow/BigQuery/dbt/Airflow/Delta Lake/Kafka. Strong modern data stack. Apache Beam not Spark (partial), but functionally equivalent. Chennai vs Pune hybrid.</t>
        </is>
      </c>
    </row>
    <row r="16" ht="28" customHeight="1">
      <c r="A16" s="5" t="inlineStr">
        <is>
          <t>JD003</t>
        </is>
      </c>
      <c r="B16" s="5" t="inlineStr">
        <is>
          <t>Data Engineer</t>
        </is>
      </c>
      <c r="C16" s="5" t="inlineStr">
        <is>
          <t>JD003_Data_Engineer.pdf</t>
        </is>
      </c>
      <c r="D16" s="5" t="inlineStr">
        <is>
          <t>R015</t>
        </is>
      </c>
      <c r="E16" s="5" t="inlineStr">
        <is>
          <t>Mohit Agarwal</t>
        </is>
      </c>
      <c r="F16" s="5" t="inlineStr">
        <is>
          <t>R015_Mohit_Agarwal.pdf</t>
        </is>
      </c>
      <c r="G16" s="5" t="inlineStr">
        <is>
          <t>Medium</t>
        </is>
      </c>
      <c r="H16" s="6" t="n">
        <v>36</v>
      </c>
      <c r="I16" s="5" t="n">
        <v>10</v>
      </c>
      <c r="J16" s="5" t="n">
        <v>12</v>
      </c>
      <c r="K16" s="5" t="n">
        <v>0</v>
      </c>
      <c r="L16" s="5" t="n">
        <v>7</v>
      </c>
      <c r="M16" s="5" t="n">
        <v>3</v>
      </c>
      <c r="N16" s="5" t="n">
        <v>4</v>
      </c>
      <c r="O16" s="7" t="inlineStr">
        <is>
          <t>JD requires 3yr data engineering with Spark production; resume is data analyst with 'basic' Spark from training and 'basic' Airflow. No Snowflake/BigQuery/Redshift hands-on. B.Sc Statistics. Jaipur vs Pune.</t>
        </is>
      </c>
    </row>
    <row r="17" ht="28" customHeight="1">
      <c r="A17" s="5" t="inlineStr">
        <is>
          <t>JD003</t>
        </is>
      </c>
      <c r="B17" s="5" t="inlineStr">
        <is>
          <t>Data Engineer</t>
        </is>
      </c>
      <c r="C17" s="5" t="inlineStr">
        <is>
          <t>JD003_Data_Engineer.pdf</t>
        </is>
      </c>
      <c r="D17" s="5" t="inlineStr">
        <is>
          <t>R016</t>
        </is>
      </c>
      <c r="E17" s="5" t="inlineStr">
        <is>
          <t>Rahul Verma</t>
        </is>
      </c>
      <c r="F17" s="5" t="inlineStr">
        <is>
          <t>R016_Rahul_Verma.pdf</t>
        </is>
      </c>
      <c r="G17" s="5" t="inlineStr">
        <is>
          <t>Medium</t>
        </is>
      </c>
      <c r="H17" s="6" t="n">
        <v>30</v>
      </c>
      <c r="I17" s="5" t="n">
        <v>4</v>
      </c>
      <c r="J17" s="5" t="n">
        <v>9</v>
      </c>
      <c r="K17" s="5" t="n">
        <v>0</v>
      </c>
      <c r="L17" s="5" t="n">
        <v>10</v>
      </c>
      <c r="M17" s="5" t="n">
        <v>3</v>
      </c>
      <c r="N17" s="5" t="n">
        <v>4</v>
      </c>
      <c r="O17" s="7" t="inlineStr">
        <is>
          <t>Python strong but JD requires Spark/Airflow/cloud DW - all absent per resume. Lambda/S3 basic usage only. Resume explicitly states 'No large-scale Spark or Airflow experience'. B.Tech IT. Noida vs Pune.</t>
        </is>
      </c>
    </row>
    <row r="18" ht="28" customHeight="1">
      <c r="A18" s="8" t="inlineStr">
        <is>
          <t>JD003</t>
        </is>
      </c>
      <c r="B18" s="8" t="inlineStr">
        <is>
          <t>Data Engineer</t>
        </is>
      </c>
      <c r="C18" s="8" t="inlineStr">
        <is>
          <t>JD003_Data_Engineer.pdf</t>
        </is>
      </c>
      <c r="D18" s="8" t="inlineStr">
        <is>
          <t>R017</t>
        </is>
      </c>
      <c r="E18" s="8" t="inlineStr">
        <is>
          <t>Meena Pillai</t>
        </is>
      </c>
      <c r="F18" s="8" t="inlineStr">
        <is>
          <t>R017_Meena_Pillai.pdf</t>
        </is>
      </c>
      <c r="G18" s="8" t="inlineStr">
        <is>
          <t>Weak</t>
        </is>
      </c>
      <c r="H18" s="9" t="n">
        <v>13</v>
      </c>
      <c r="I18" s="8" t="n">
        <v>0</v>
      </c>
      <c r="J18" s="8" t="n">
        <v>0</v>
      </c>
      <c r="K18" s="8" t="n">
        <v>3</v>
      </c>
      <c r="L18" s="8" t="n">
        <v>7</v>
      </c>
      <c r="M18" s="8" t="n">
        <v>3</v>
      </c>
      <c r="N18" s="8" t="n">
        <v>0</v>
      </c>
      <c r="O18" s="10" t="inlineStr">
        <is>
          <t>Network engineer. JD requires Python, Spark, Airflow, SQL, cloud DW - none present. CCNA/CCNP certs irrelevant. B.Tech ECE. Trivandrum vs Pune.</t>
        </is>
      </c>
    </row>
    <row r="19" ht="28" customHeight="1">
      <c r="A19" s="8" t="inlineStr">
        <is>
          <t>JD003</t>
        </is>
      </c>
      <c r="B19" s="8" t="inlineStr">
        <is>
          <t>Data Engineer</t>
        </is>
      </c>
      <c r="C19" s="8" t="inlineStr">
        <is>
          <t>JD003_Data_Engineer.pdf</t>
        </is>
      </c>
      <c r="D19" s="8" t="inlineStr">
        <is>
          <t>R018</t>
        </is>
      </c>
      <c r="E19" s="8" t="inlineStr">
        <is>
          <t>Tarun Malhotra</t>
        </is>
      </c>
      <c r="F19" s="8" t="inlineStr">
        <is>
          <t>R018_Tarun_Malhotra.pdf</t>
        </is>
      </c>
      <c r="G19" s="8" t="inlineStr">
        <is>
          <t>Weak</t>
        </is>
      </c>
      <c r="H19" s="9" t="n">
        <v>14</v>
      </c>
      <c r="I19" s="8" t="n">
        <v>0</v>
      </c>
      <c r="J19" s="8" t="n">
        <v>1</v>
      </c>
      <c r="K19" s="8" t="n">
        <v>0</v>
      </c>
      <c r="L19" s="8" t="n">
        <v>10</v>
      </c>
      <c r="M19" s="8" t="n">
        <v>3</v>
      </c>
      <c r="N19" s="8" t="n">
        <v>0</v>
      </c>
      <c r="O19" s="10" t="inlineStr">
        <is>
          <t>Frontend developer. JD requires Spark/Airflow/Kafka/Python data processing - none present. Only 'basic SQL' mentioned. Resume explicitly states no Python/Spark/Airflow/Kafka. B.Tech CS. Chandigarh vs Pune.</t>
        </is>
      </c>
    </row>
    <row r="20" ht="28" customHeight="1">
      <c r="A20" s="2" t="inlineStr">
        <is>
          <t>JD004</t>
        </is>
      </c>
      <c r="B20" s="2" t="inlineStr">
        <is>
          <t>ServiceNow Engineer</t>
        </is>
      </c>
      <c r="C20" s="2" t="inlineStr">
        <is>
          <t>JD004_ServiceNow_Engineer.pdf</t>
        </is>
      </c>
      <c r="D20" s="2" t="inlineStr">
        <is>
          <t>R019</t>
        </is>
      </c>
      <c r="E20" s="2" t="inlineStr">
        <is>
          <t>Ajay Sharma</t>
        </is>
      </c>
      <c r="F20" s="2" t="inlineStr">
        <is>
          <t>R019_Ajay_Sharma.pdf</t>
        </is>
      </c>
      <c r="G20" s="2" t="inlineStr">
        <is>
          <t>Strong</t>
        </is>
      </c>
      <c r="H20" s="3" t="n">
        <v>100</v>
      </c>
      <c r="I20" s="2" t="n">
        <v>25</v>
      </c>
      <c r="J20" s="2" t="n">
        <v>30</v>
      </c>
      <c r="K20" s="2" t="n">
        <v>15</v>
      </c>
      <c r="L20" s="2" t="n">
        <v>10</v>
      </c>
      <c r="M20" s="2" t="n">
        <v>10</v>
      </c>
      <c r="N20" s="2" t="n">
        <v>10</v>
      </c>
      <c r="O20" s="4" t="inlineStr">
        <is>
          <t>4yr ServiceNow, ITSM/ITOM/HRSD/CSM, GlideScript, Flow Designer, REST/SOAP, 500+ scripts. Both CSA+CAD certs present. B.E. CS Anna Univ. Chennai exact match.</t>
        </is>
      </c>
    </row>
    <row r="21" ht="28" customHeight="1">
      <c r="A21" s="2" t="inlineStr">
        <is>
          <t>JD004</t>
        </is>
      </c>
      <c r="B21" s="2" t="inlineStr">
        <is>
          <t>ServiceNow Engineer</t>
        </is>
      </c>
      <c r="C21" s="2" t="inlineStr">
        <is>
          <t>JD004_ServiceNow_Engineer.pdf</t>
        </is>
      </c>
      <c r="D21" s="2" t="inlineStr">
        <is>
          <t>R020</t>
        </is>
      </c>
      <c r="E21" s="2" t="inlineStr">
        <is>
          <t>Shalini Reddy</t>
        </is>
      </c>
      <c r="F21" s="2" t="inlineStr">
        <is>
          <t>R020_Shalini_Reddy.pdf</t>
        </is>
      </c>
      <c r="G21" s="2" t="inlineStr">
        <is>
          <t>Strong</t>
        </is>
      </c>
      <c r="H21" s="3" t="n">
        <v>84</v>
      </c>
      <c r="I21" s="2" t="n">
        <v>25</v>
      </c>
      <c r="J21" s="2" t="n">
        <v>28</v>
      </c>
      <c r="K21" s="2" t="n">
        <v>8</v>
      </c>
      <c r="L21" s="2" t="n">
        <v>10</v>
      </c>
      <c r="M21" s="2" t="n">
        <v>3</v>
      </c>
      <c r="N21" s="2" t="n">
        <v>10</v>
      </c>
      <c r="O21" s="4" t="inlineStr">
        <is>
          <t>5yr ServiceNow consulting, ITSM+HRSD+CSM, Scripted REST APIs, Discovery, IntegrationHub. CSA present, CAD absent. B.Tech IT Osmania. Hyderabad vs Chennai on-site.</t>
        </is>
      </c>
    </row>
    <row r="22" ht="28" customHeight="1">
      <c r="A22" s="5" t="inlineStr">
        <is>
          <t>JD004</t>
        </is>
      </c>
      <c r="B22" s="5" t="inlineStr">
        <is>
          <t>ServiceNow Engineer</t>
        </is>
      </c>
      <c r="C22" s="5" t="inlineStr">
        <is>
          <t>JD004_ServiceNow_Engineer.pdf</t>
        </is>
      </c>
      <c r="D22" s="5" t="inlineStr">
        <is>
          <t>R021</t>
        </is>
      </c>
      <c r="E22" s="5" t="inlineStr">
        <is>
          <t>Dinesh Kumar</t>
        </is>
      </c>
      <c r="F22" s="5" t="inlineStr">
        <is>
          <t>R021_Dinesh_Kumar.pdf</t>
        </is>
      </c>
      <c r="G22" s="5" t="inlineStr">
        <is>
          <t>Medium</t>
        </is>
      </c>
      <c r="H22" s="6" t="n">
        <v>33</v>
      </c>
      <c r="I22" s="5" t="n">
        <v>4</v>
      </c>
      <c r="J22" s="5" t="n">
        <v>9</v>
      </c>
      <c r="K22" s="5" t="n">
        <v>3</v>
      </c>
      <c r="L22" s="5" t="n">
        <v>7</v>
      </c>
      <c r="M22" s="5" t="n">
        <v>6</v>
      </c>
      <c r="N22" s="5" t="n">
        <v>4</v>
      </c>
      <c r="O22" s="7" t="inlineStr">
        <is>
          <t>JD requires GlideScript development and Flow Designer; resume explicitly states 'minimal scripting experience' and 'no GlideScript development'. Admin/user level only. ITIL cert not CSA. B.Sc. Bangalore vs Chennai - open to relocation implied.</t>
        </is>
      </c>
    </row>
    <row r="23" ht="28" customHeight="1">
      <c r="A23" s="5" t="inlineStr">
        <is>
          <t>JD004</t>
        </is>
      </c>
      <c r="B23" s="5" t="inlineStr">
        <is>
          <t>ServiceNow Engineer</t>
        </is>
      </c>
      <c r="C23" s="5" t="inlineStr">
        <is>
          <t>JD004_ServiceNow_Engineer.pdf</t>
        </is>
      </c>
      <c r="D23" s="5" t="inlineStr">
        <is>
          <t>R022</t>
        </is>
      </c>
      <c r="E23" s="5" t="inlineStr">
        <is>
          <t>Preeti Jain</t>
        </is>
      </c>
      <c r="F23" s="5" t="inlineStr">
        <is>
          <t>R022_Preeti_Jain.pdf</t>
        </is>
      </c>
      <c r="G23" s="5" t="inlineStr">
        <is>
          <t>Medium</t>
        </is>
      </c>
      <c r="H23" s="6" t="n">
        <v>31</v>
      </c>
      <c r="I23" s="5" t="n">
        <v>4</v>
      </c>
      <c r="J23" s="5" t="n">
        <v>10</v>
      </c>
      <c r="K23" s="5" t="n">
        <v>3</v>
      </c>
      <c r="L23" s="5" t="n">
        <v>10</v>
      </c>
      <c r="M23" s="5" t="n">
        <v>3</v>
      </c>
      <c r="N23" s="5" t="n">
        <v>1</v>
      </c>
      <c r="O23" s="7" t="inlineStr">
        <is>
          <t>JD requires ServiceNow - resume explicitly states 'No ServiceNow experience'. Salesforce platform dev partially transfers (JS, REST, flows). No CSA/CAD. Salesforce certs irrelevant. Mumbai vs Chennai on-site.</t>
        </is>
      </c>
    </row>
    <row r="24" ht="28" customHeight="1">
      <c r="A24" s="8" t="inlineStr">
        <is>
          <t>JD004</t>
        </is>
      </c>
      <c r="B24" s="8" t="inlineStr">
        <is>
          <t>ServiceNow Engineer</t>
        </is>
      </c>
      <c r="C24" s="8" t="inlineStr">
        <is>
          <t>JD004_ServiceNow_Engineer.pdf</t>
        </is>
      </c>
      <c r="D24" s="8" t="inlineStr">
        <is>
          <t>R023</t>
        </is>
      </c>
      <c r="E24" s="8" t="inlineStr">
        <is>
          <t>Sunil Tiwari</t>
        </is>
      </c>
      <c r="F24" s="8" t="inlineStr">
        <is>
          <t>R023_Sunil_Tiwari.pdf</t>
        </is>
      </c>
      <c r="G24" s="8" t="inlineStr">
        <is>
          <t>Weak</t>
        </is>
      </c>
      <c r="H24" s="9" t="n">
        <v>11</v>
      </c>
      <c r="I24" s="8" t="n">
        <v>0</v>
      </c>
      <c r="J24" s="8" t="n">
        <v>1</v>
      </c>
      <c r="K24" s="8" t="n">
        <v>3</v>
      </c>
      <c r="L24" s="8" t="n">
        <v>4</v>
      </c>
      <c r="M24" s="8" t="n">
        <v>3</v>
      </c>
      <c r="N24" s="8" t="n">
        <v>0</v>
      </c>
      <c r="O24" s="10" t="inlineStr">
        <is>
          <t>SAP functional consultant. JD requires ServiceNow/GlideScript/ITSM - all absent. Resume confirms 'No ServiceNow experience'. SAP cert irrelevant. B.E. Mechanical. Bhopal vs Chennai.</t>
        </is>
      </c>
    </row>
    <row r="25" ht="28" customHeight="1">
      <c r="A25" s="8" t="inlineStr">
        <is>
          <t>JD004</t>
        </is>
      </c>
      <c r="B25" s="8" t="inlineStr">
        <is>
          <t>ServiceNow Engineer</t>
        </is>
      </c>
      <c r="C25" s="8" t="inlineStr">
        <is>
          <t>JD004_ServiceNow_Engineer.pdf</t>
        </is>
      </c>
      <c r="D25" s="8" t="inlineStr">
        <is>
          <t>R024</t>
        </is>
      </c>
      <c r="E25" s="8" t="inlineStr">
        <is>
          <t>Nisha Thomas</t>
        </is>
      </c>
      <c r="F25" s="8" t="inlineStr">
        <is>
          <t>R024_Nisha_Thomas.pdf</t>
        </is>
      </c>
      <c r="G25" s="8" t="inlineStr">
        <is>
          <t>Weak</t>
        </is>
      </c>
      <c r="H25" s="9" t="n">
        <v>7</v>
      </c>
      <c r="I25" s="8" t="n">
        <v>0</v>
      </c>
      <c r="J25" s="8" t="n">
        <v>0</v>
      </c>
      <c r="K25" s="8" t="n">
        <v>0</v>
      </c>
      <c r="L25" s="8" t="n">
        <v>4</v>
      </c>
      <c r="M25" s="8" t="n">
        <v>3</v>
      </c>
      <c r="N25" s="8" t="n">
        <v>0</v>
      </c>
      <c r="O25" s="10" t="inlineStr">
        <is>
          <t>HR manager, business user of ServiceNow HRSD only. JD requires JS/GlideScript dev - resume states 'no technical skills'. No certs. MBA HR. Kochi vs Chennai on-site.</t>
        </is>
      </c>
    </row>
    <row r="26" ht="28" customHeight="1">
      <c r="A26" s="2" t="inlineStr">
        <is>
          <t>JD005</t>
        </is>
      </c>
      <c r="B26" s="2" t="inlineStr">
        <is>
          <t>DevOps/Cloud Engineer</t>
        </is>
      </c>
      <c r="C26" s="2" t="inlineStr">
        <is>
          <t>JD005_DevOps___Cloud_Engineer.pdf</t>
        </is>
      </c>
      <c r="D26" s="2" t="inlineStr">
        <is>
          <t>R025</t>
        </is>
      </c>
      <c r="E26" s="2" t="inlineStr">
        <is>
          <t>Nikhil Pandey</t>
        </is>
      </c>
      <c r="F26" s="2" t="inlineStr">
        <is>
          <t>R025_Nikhil_Pandey.pdf</t>
        </is>
      </c>
      <c r="G26" s="2" t="inlineStr">
        <is>
          <t>Strong</t>
        </is>
      </c>
      <c r="H26" s="3" t="n">
        <v>100</v>
      </c>
      <c r="I26" s="2" t="n">
        <v>25</v>
      </c>
      <c r="J26" s="2" t="n">
        <v>30</v>
      </c>
      <c r="K26" s="2" t="n">
        <v>15</v>
      </c>
      <c r="L26" s="2" t="n">
        <v>10</v>
      </c>
      <c r="M26" s="2" t="n">
        <v>10</v>
      </c>
      <c r="N26" s="2" t="n">
        <v>10</v>
      </c>
      <c r="O26" s="4" t="inlineStr">
        <is>
          <t>4yr AWS/Terraform/Kubernetes/EKS/GitHub Actions/Prometheus/Grafana/ELK. All required skills. AWS SA Assoc + DevOps Professional (exceeds JD requirement). B.Tech NIT. Hyderabad exact match.</t>
        </is>
      </c>
    </row>
    <row r="27" ht="28" customHeight="1">
      <c r="A27" s="2" t="inlineStr">
        <is>
          <t>JD005</t>
        </is>
      </c>
      <c r="B27" s="2" t="inlineStr">
        <is>
          <t>DevOps/Cloud Engineer</t>
        </is>
      </c>
      <c r="C27" s="2" t="inlineStr">
        <is>
          <t>JD005_DevOps___Cloud_Engineer.pdf</t>
        </is>
      </c>
      <c r="D27" s="2" t="inlineStr">
        <is>
          <t>R026</t>
        </is>
      </c>
      <c r="E27" s="2" t="inlineStr">
        <is>
          <t>Gayathri Nair</t>
        </is>
      </c>
      <c r="F27" s="2" t="inlineStr">
        <is>
          <t>R026_Gayathri_Nair.pdf</t>
        </is>
      </c>
      <c r="G27" s="2" t="inlineStr">
        <is>
          <t>Strong</t>
        </is>
      </c>
      <c r="H27" s="3" t="n">
        <v>91</v>
      </c>
      <c r="I27" s="2" t="n">
        <v>25</v>
      </c>
      <c r="J27" s="2" t="n">
        <v>28</v>
      </c>
      <c r="K27" s="2" t="n">
        <v>15</v>
      </c>
      <c r="L27" s="2" t="n">
        <v>10</v>
      </c>
      <c r="M27" s="2" t="n">
        <v>3</v>
      </c>
      <c r="N27" s="2" t="n">
        <v>10</v>
      </c>
      <c r="O27" s="4" t="inlineStr">
        <is>
          <t>3.5yr GCP+Terraform+Kubernetes+ArgoCD+Datadog+Istio. JD mentions AWS primary; GCP expertise is strong but AWS listed as 'basic'. GCP Prof + CKA certs. B.E. IT VTU. Bangalore vs Hyderabad hybrid.</t>
        </is>
      </c>
    </row>
    <row r="28" ht="28" customHeight="1">
      <c r="A28" s="5" t="inlineStr">
        <is>
          <t>JD005</t>
        </is>
      </c>
      <c r="B28" s="5" t="inlineStr">
        <is>
          <t>DevOps/Cloud Engineer</t>
        </is>
      </c>
      <c r="C28" s="5" t="inlineStr">
        <is>
          <t>JD005_DevOps___Cloud_Engineer.pdf</t>
        </is>
      </c>
      <c r="D28" s="5" t="inlineStr">
        <is>
          <t>R027</t>
        </is>
      </c>
      <c r="E28" s="5" t="inlineStr">
        <is>
          <t>Ashwin Bhat</t>
        </is>
      </c>
      <c r="F28" s="5" t="inlineStr">
        <is>
          <t>R027_Ashwin_Bhat.pdf</t>
        </is>
      </c>
      <c r="G28" s="5" t="inlineStr">
        <is>
          <t>Medium</t>
        </is>
      </c>
      <c r="H28" s="12" t="n">
        <v>58</v>
      </c>
      <c r="I28" s="5" t="n">
        <v>18</v>
      </c>
      <c r="J28" s="5" t="n">
        <v>15</v>
      </c>
      <c r="K28" s="5" t="n">
        <v>8</v>
      </c>
      <c r="L28" s="5" t="n">
        <v>7</v>
      </c>
      <c r="M28" s="5" t="n">
        <v>3</v>
      </c>
      <c r="N28" s="5" t="n">
        <v>7</v>
      </c>
      <c r="O28" s="7" t="inlineStr">
        <is>
          <t>JD requires Kubernetes and Terraform production use; resume states 'Terraform basic (learning)' and 'no Kubernetes yet'. Good Linux/AWS/scripting base. AWS SysOps cert. B.Sc CS. Mangalore vs Hyderabad.</t>
        </is>
      </c>
    </row>
    <row r="29" ht="28" customHeight="1">
      <c r="A29" s="5" t="inlineStr">
        <is>
          <t>JD005</t>
        </is>
      </c>
      <c r="B29" s="5" t="inlineStr">
        <is>
          <t>DevOps/Cloud Engineer</t>
        </is>
      </c>
      <c r="C29" s="5" t="inlineStr">
        <is>
          <t>JD005_DevOps___Cloud_Engineer.pdf</t>
        </is>
      </c>
      <c r="D29" s="5" t="inlineStr">
        <is>
          <t>R028</t>
        </is>
      </c>
      <c r="E29" s="5" t="inlineStr">
        <is>
          <t>Vivek Sharma</t>
        </is>
      </c>
      <c r="F29" s="5" t="inlineStr">
        <is>
          <t>R028_Vivek_Sharma.pdf</t>
        </is>
      </c>
      <c r="G29" s="5" t="inlineStr">
        <is>
          <t>Medium</t>
        </is>
      </c>
      <c r="H29" s="6" t="n">
        <v>37</v>
      </c>
      <c r="I29" s="5" t="n">
        <v>10</v>
      </c>
      <c r="J29" s="5" t="n">
        <v>10</v>
      </c>
      <c r="K29" s="5" t="n">
        <v>0</v>
      </c>
      <c r="L29" s="5" t="n">
        <v>10</v>
      </c>
      <c r="M29" s="5" t="n">
        <v>3</v>
      </c>
      <c r="N29" s="5" t="n">
        <v>4</v>
      </c>
      <c r="O29" s="7" t="inlineStr">
        <is>
          <t>JD requires Terraform/Kubernetes/IaC; resume explicitly states 'no Terraform, no Kubernetes'. Docker+AWS user-level only. GitHub Actions basic. No DevOps certs. B.Tech CS. Indore vs Hyderabad.</t>
        </is>
      </c>
    </row>
    <row r="30" ht="28" customHeight="1">
      <c r="A30" s="8" t="inlineStr">
        <is>
          <t>JD005</t>
        </is>
      </c>
      <c r="B30" s="8" t="inlineStr">
        <is>
          <t>DevOps/Cloud Engineer</t>
        </is>
      </c>
      <c r="C30" s="8" t="inlineStr">
        <is>
          <t>JD005_DevOps___Cloud_Engineer.pdf</t>
        </is>
      </c>
      <c r="D30" s="8" t="inlineStr">
        <is>
          <t>R029</t>
        </is>
      </c>
      <c r="E30" s="8" t="inlineStr">
        <is>
          <t>Ramesh Iyer</t>
        </is>
      </c>
      <c r="F30" s="8" t="inlineStr">
        <is>
          <t>R029_Ramesh_Iyer.pdf</t>
        </is>
      </c>
      <c r="G30" s="8" t="inlineStr">
        <is>
          <t>Weak</t>
        </is>
      </c>
      <c r="H30" s="9" t="n">
        <v>17</v>
      </c>
      <c r="I30" s="8" t="n">
        <v>0</v>
      </c>
      <c r="J30" s="8" t="n">
        <v>1</v>
      </c>
      <c r="K30" s="8" t="n">
        <v>3</v>
      </c>
      <c r="L30" s="8" t="n">
        <v>10</v>
      </c>
      <c r="M30" s="8" t="n">
        <v>3</v>
      </c>
      <c r="N30" s="8" t="n">
        <v>0</v>
      </c>
      <c r="O30" s="10" t="inlineStr">
        <is>
          <t>Oracle DBA. JD requires Terraform/Docker/Kubernetes/CI-CD - all absent. Resume confirms 'No DevOps/Cloud experience'. OracleDBA cert irrelevant. B.E. CS. Coimbatore vs Hyderabad.</t>
        </is>
      </c>
    </row>
    <row r="31" ht="28" customHeight="1">
      <c r="A31" s="8" t="inlineStr">
        <is>
          <t>JD005</t>
        </is>
      </c>
      <c r="B31" s="8" t="inlineStr">
        <is>
          <t>DevOps/Cloud Engineer</t>
        </is>
      </c>
      <c r="C31" s="8" t="inlineStr">
        <is>
          <t>JD005_DevOps___Cloud_Engineer.pdf</t>
        </is>
      </c>
      <c r="D31" s="8" t="inlineStr">
        <is>
          <t>R030</t>
        </is>
      </c>
      <c r="E31" s="8" t="inlineStr">
        <is>
          <t>Lakshmi Priya</t>
        </is>
      </c>
      <c r="F31" s="8" t="inlineStr">
        <is>
          <t>R030_Lakshmi_Priya.pdf</t>
        </is>
      </c>
      <c r="G31" s="8" t="inlineStr">
        <is>
          <t>Weak</t>
        </is>
      </c>
      <c r="H31" s="9" t="n">
        <v>18</v>
      </c>
      <c r="I31" s="8" t="n">
        <v>0</v>
      </c>
      <c r="J31" s="8" t="n">
        <v>0</v>
      </c>
      <c r="K31" s="8" t="n">
        <v>3</v>
      </c>
      <c r="L31" s="8" t="n">
        <v>4</v>
      </c>
      <c r="M31" s="8" t="n">
        <v>10</v>
      </c>
      <c r="N31" s="8" t="n">
        <v>1</v>
      </c>
      <c r="O31" s="10" t="inlineStr">
        <is>
          <t>IT project manager. JD requires hands-on Terraform/Docker/K8s/CI-CD; resume states 'No technical hands-on'. PMP/PRINCE2 irrelevant to engineering role. MBA. Hyderabad match but wrong role entirely.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22" customWidth="1" min="4" max="4"/>
    <col width="28" customWidth="1" min="5" max="5"/>
    <col width="13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3" customWidth="1" min="15" max="15"/>
    <col width="14" customWidth="1" min="16" max="16"/>
    <col width="12" customWidth="1" min="17" max="17"/>
    <col width="10" customWidth="1" min="18" max="18"/>
    <col width="30" customWidth="1" min="19" max="19"/>
  </cols>
  <sheetData>
    <row r="1" ht="40" customHeight="1">
      <c r="A1" s="1" t="inlineStr">
        <is>
          <t>JD ID</t>
        </is>
      </c>
      <c r="B1" s="1" t="inlineStr">
        <is>
          <t>JD File (PDF)</t>
        </is>
      </c>
      <c r="C1" s="1" t="inlineStr">
        <is>
          <t>Resume ID</t>
        </is>
      </c>
      <c r="D1" s="1" t="inlineStr">
        <is>
          <t>Candidate</t>
        </is>
      </c>
      <c r="E1" s="1" t="inlineStr">
        <is>
          <t>Resume File (PDF)</t>
        </is>
      </c>
      <c r="F1" s="1" t="inlineStr">
        <is>
          <t>GT Match Level</t>
        </is>
      </c>
      <c r="G1" s="1" t="inlineStr">
        <is>
          <t>GT Total
(100)</t>
        </is>
      </c>
      <c r="H1" s="13" t="inlineStr">
        <is>
          <t>Your
Total Score</t>
        </is>
      </c>
      <c r="I1" s="13" t="inlineStr">
        <is>
          <t>Your
Exp Score</t>
        </is>
      </c>
      <c r="J1" s="13" t="inlineStr">
        <is>
          <t>Your
Tech Score</t>
        </is>
      </c>
      <c r="K1" s="13" t="inlineStr">
        <is>
          <t>Your
Cert Score</t>
        </is>
      </c>
      <c r="L1" s="13" t="inlineStr">
        <is>
          <t>Your
Edu Score</t>
        </is>
      </c>
      <c r="M1" s="13" t="inlineStr">
        <is>
          <t>Your
Loc Score</t>
        </is>
      </c>
      <c r="N1" s="13" t="inlineStr">
        <is>
          <t>Your
Domain Score</t>
        </is>
      </c>
      <c r="O1" s="13" t="inlineStr">
        <is>
          <t>Your
Match Level</t>
        </is>
      </c>
      <c r="P1" s="13" t="inlineStr">
        <is>
          <t>Your
Rank (per JD)</t>
        </is>
      </c>
      <c r="Q1" s="1" t="inlineStr">
        <is>
          <t>Match
Correct?</t>
        </is>
      </c>
      <c r="R1" s="1" t="inlineStr">
        <is>
          <t>Score
Diff</t>
        </is>
      </c>
      <c r="S1" s="1" t="inlineStr">
        <is>
          <t>Notes</t>
        </is>
      </c>
    </row>
    <row r="2" ht="25" customHeight="1">
      <c r="A2" s="2" t="inlineStr">
        <is>
          <t>JD001</t>
        </is>
      </c>
      <c r="B2" s="2" t="inlineStr">
        <is>
          <t>JD001_Software_Engineer.pdf</t>
        </is>
      </c>
      <c r="C2" s="2" t="inlineStr">
        <is>
          <t>R001</t>
        </is>
      </c>
      <c r="D2" s="2" t="inlineStr">
        <is>
          <t>Arjun Mehta</t>
        </is>
      </c>
      <c r="E2" s="2" t="inlineStr">
        <is>
          <t>R001_Arjun_Mehta.pdf</t>
        </is>
      </c>
      <c r="F2" s="2" t="inlineStr">
        <is>
          <t>Strong</t>
        </is>
      </c>
      <c r="G2" s="2" t="n">
        <v>92</v>
      </c>
      <c r="H2" s="14" t="inlineStr"/>
      <c r="I2" s="14" t="inlineStr"/>
      <c r="J2" s="14" t="inlineStr"/>
      <c r="K2" s="14" t="inlineStr"/>
      <c r="L2" s="14" t="inlineStr"/>
      <c r="M2" s="14" t="inlineStr"/>
      <c r="N2" s="14" t="inlineStr"/>
      <c r="O2" s="14" t="inlineStr"/>
      <c r="P2" s="14" t="inlineStr"/>
      <c r="Q2" s="2">
        <f>IF(O2="","",IF(O2=F2,"Y","N"))</f>
        <v/>
      </c>
      <c r="R2" s="2">
        <f>IF(H2="","",H2-G2)</f>
        <v/>
      </c>
      <c r="S2" s="15" t="inlineStr"/>
    </row>
    <row r="3" ht="25" customHeight="1">
      <c r="A3" s="2" t="inlineStr">
        <is>
          <t>JD001</t>
        </is>
      </c>
      <c r="B3" s="2" t="inlineStr">
        <is>
          <t>JD001_Software_Engineer.pdf</t>
        </is>
      </c>
      <c r="C3" s="2" t="inlineStr">
        <is>
          <t>R002</t>
        </is>
      </c>
      <c r="D3" s="2" t="inlineStr">
        <is>
          <t>Priya Nair</t>
        </is>
      </c>
      <c r="E3" s="2" t="inlineStr">
        <is>
          <t>R002_Priya_Nair.pdf</t>
        </is>
      </c>
      <c r="F3" s="2" t="inlineStr">
        <is>
          <t>Strong</t>
        </is>
      </c>
      <c r="G3" s="2" t="n">
        <v>82</v>
      </c>
      <c r="H3" s="14" t="inlineStr"/>
      <c r="I3" s="14" t="inlineStr"/>
      <c r="J3" s="14" t="inlineStr"/>
      <c r="K3" s="14" t="inlineStr"/>
      <c r="L3" s="14" t="inlineStr"/>
      <c r="M3" s="14" t="inlineStr"/>
      <c r="N3" s="14" t="inlineStr"/>
      <c r="O3" s="14" t="inlineStr"/>
      <c r="P3" s="14" t="inlineStr"/>
      <c r="Q3" s="2">
        <f>IF(O3="","",IF(O3=F3,"Y","N"))</f>
        <v/>
      </c>
      <c r="R3" s="2">
        <f>IF(H3="","",H3-G3)</f>
        <v/>
      </c>
      <c r="S3" s="15" t="inlineStr"/>
    </row>
    <row r="4" ht="25" customHeight="1">
      <c r="A4" s="5" t="inlineStr">
        <is>
          <t>JD001</t>
        </is>
      </c>
      <c r="B4" s="5" t="inlineStr">
        <is>
          <t>JD001_Software_Engineer.pdf</t>
        </is>
      </c>
      <c r="C4" s="5" t="inlineStr">
        <is>
          <t>R003</t>
        </is>
      </c>
      <c r="D4" s="5" t="inlineStr">
        <is>
          <t>Rohit Sharma</t>
        </is>
      </c>
      <c r="E4" s="5" t="inlineStr">
        <is>
          <t>R003_Rohit_Sharma.pdf</t>
        </is>
      </c>
      <c r="F4" s="5" t="inlineStr">
        <is>
          <t>Medium</t>
        </is>
      </c>
      <c r="G4" s="5" t="n">
        <v>41</v>
      </c>
      <c r="H4" s="14" t="inlineStr"/>
      <c r="I4" s="14" t="inlineStr"/>
      <c r="J4" s="14" t="inlineStr"/>
      <c r="K4" s="14" t="inlineStr"/>
      <c r="L4" s="14" t="inlineStr"/>
      <c r="M4" s="14" t="inlineStr"/>
      <c r="N4" s="14" t="inlineStr"/>
      <c r="O4" s="14" t="inlineStr"/>
      <c r="P4" s="14" t="inlineStr"/>
      <c r="Q4" s="5">
        <f>IF(O4="","",IF(O4=F4,"Y","N"))</f>
        <v/>
      </c>
      <c r="R4" s="5">
        <f>IF(H4="","",H4-G4)</f>
        <v/>
      </c>
      <c r="S4" s="15" t="inlineStr"/>
    </row>
    <row r="5" ht="25" customHeight="1">
      <c r="A5" s="5" t="inlineStr">
        <is>
          <t>JD001</t>
        </is>
      </c>
      <c r="B5" s="5" t="inlineStr">
        <is>
          <t>JD001_Software_Engineer.pdf</t>
        </is>
      </c>
      <c r="C5" s="5" t="inlineStr">
        <is>
          <t>R004</t>
        </is>
      </c>
      <c r="D5" s="5" t="inlineStr">
        <is>
          <t>Sneha Patel</t>
        </is>
      </c>
      <c r="E5" s="5" t="inlineStr">
        <is>
          <t>R004_Sneha_Patel.pdf</t>
        </is>
      </c>
      <c r="F5" s="5" t="inlineStr">
        <is>
          <t>Medium</t>
        </is>
      </c>
      <c r="G5" s="5" t="n">
        <v>42</v>
      </c>
      <c r="H5" s="14" t="inlineStr"/>
      <c r="I5" s="14" t="inlineStr"/>
      <c r="J5" s="14" t="inlineStr"/>
      <c r="K5" s="14" t="inlineStr"/>
      <c r="L5" s="14" t="inlineStr"/>
      <c r="M5" s="14" t="inlineStr"/>
      <c r="N5" s="14" t="inlineStr"/>
      <c r="O5" s="14" t="inlineStr"/>
      <c r="P5" s="14" t="inlineStr"/>
      <c r="Q5" s="5">
        <f>IF(O5="","",IF(O5=F5,"Y","N"))</f>
        <v/>
      </c>
      <c r="R5" s="5">
        <f>IF(H5="","",H5-G5)</f>
        <v/>
      </c>
      <c r="S5" s="15" t="inlineStr"/>
    </row>
    <row r="6" ht="25" customHeight="1">
      <c r="A6" s="8" t="inlineStr">
        <is>
          <t>JD001</t>
        </is>
      </c>
      <c r="B6" s="8" t="inlineStr">
        <is>
          <t>JD001_Software_Engineer.pdf</t>
        </is>
      </c>
      <c r="C6" s="8" t="inlineStr">
        <is>
          <t>R005</t>
        </is>
      </c>
      <c r="D6" s="8" t="inlineStr">
        <is>
          <t>Karan Joshi</t>
        </is>
      </c>
      <c r="E6" s="8" t="inlineStr">
        <is>
          <t>R005_Karan_Joshi.pdf</t>
        </is>
      </c>
      <c r="F6" s="8" t="inlineStr">
        <is>
          <t>Weak</t>
        </is>
      </c>
      <c r="G6" s="8" t="n">
        <v>22</v>
      </c>
      <c r="H6" s="14" t="inlineStr"/>
      <c r="I6" s="14" t="inlineStr"/>
      <c r="J6" s="14" t="inlineStr"/>
      <c r="K6" s="14" t="inlineStr"/>
      <c r="L6" s="14" t="inlineStr"/>
      <c r="M6" s="14" t="inlineStr"/>
      <c r="N6" s="14" t="inlineStr"/>
      <c r="O6" s="14" t="inlineStr"/>
      <c r="P6" s="14" t="inlineStr"/>
      <c r="Q6" s="8">
        <f>IF(O6="","",IF(O6=F6,"Y","N"))</f>
        <v/>
      </c>
      <c r="R6" s="8">
        <f>IF(H6="","",H6-G6)</f>
        <v/>
      </c>
      <c r="S6" s="15" t="inlineStr"/>
    </row>
    <row r="7" ht="25" customHeight="1">
      <c r="A7" s="8" t="inlineStr">
        <is>
          <t>JD001</t>
        </is>
      </c>
      <c r="B7" s="8" t="inlineStr">
        <is>
          <t>JD001_Software_Engineer.pdf</t>
        </is>
      </c>
      <c r="C7" s="8" t="inlineStr">
        <is>
          <t>R006</t>
        </is>
      </c>
      <c r="D7" s="8" t="inlineStr">
        <is>
          <t>Anita Rao</t>
        </is>
      </c>
      <c r="E7" s="8" t="inlineStr">
        <is>
          <t>R006_Anita_Rao.pdf</t>
        </is>
      </c>
      <c r="F7" s="8" t="inlineStr">
        <is>
          <t>Weak</t>
        </is>
      </c>
      <c r="G7" s="8" t="n">
        <v>21</v>
      </c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8">
        <f>IF(O7="","",IF(O7=F7,"Y","N"))</f>
        <v/>
      </c>
      <c r="R7" s="8">
        <f>IF(H7="","",H7-G7)</f>
        <v/>
      </c>
      <c r="S7" s="15" t="inlineStr"/>
    </row>
    <row r="8" ht="25" customHeight="1">
      <c r="A8" s="2" t="inlineStr">
        <is>
          <t>JD002</t>
        </is>
      </c>
      <c r="B8" s="2" t="inlineStr">
        <is>
          <t>JD002_AI_Engineer.pdf</t>
        </is>
      </c>
      <c r="C8" s="2" t="inlineStr">
        <is>
          <t>R007</t>
        </is>
      </c>
      <c r="D8" s="2" t="inlineStr">
        <is>
          <t>Vikram Iyer</t>
        </is>
      </c>
      <c r="E8" s="2" t="inlineStr">
        <is>
          <t>R007_Vikram_Iyer.pdf</t>
        </is>
      </c>
      <c r="F8" s="2" t="inlineStr">
        <is>
          <t>Strong</t>
        </is>
      </c>
      <c r="G8" s="2" t="n">
        <v>93</v>
      </c>
      <c r="H8" s="14" t="inlineStr"/>
      <c r="I8" s="14" t="inlineStr"/>
      <c r="J8" s="14" t="inlineStr"/>
      <c r="K8" s="14" t="inlineStr"/>
      <c r="L8" s="14" t="inlineStr"/>
      <c r="M8" s="14" t="inlineStr"/>
      <c r="N8" s="14" t="inlineStr"/>
      <c r="O8" s="14" t="inlineStr"/>
      <c r="P8" s="14" t="inlineStr"/>
      <c r="Q8" s="2">
        <f>IF(O8="","",IF(O8=F8,"Y","N"))</f>
        <v/>
      </c>
      <c r="R8" s="2">
        <f>IF(H8="","",H8-G8)</f>
        <v/>
      </c>
      <c r="S8" s="15" t="inlineStr"/>
    </row>
    <row r="9" ht="25" customHeight="1">
      <c r="A9" s="2" t="inlineStr">
        <is>
          <t>JD002</t>
        </is>
      </c>
      <c r="B9" s="2" t="inlineStr">
        <is>
          <t>JD002_AI_Engineer.pdf</t>
        </is>
      </c>
      <c r="C9" s="2" t="inlineStr">
        <is>
          <t>R008</t>
        </is>
      </c>
      <c r="D9" s="2" t="inlineStr">
        <is>
          <t>Divya Krishnan</t>
        </is>
      </c>
      <c r="E9" s="2" t="inlineStr">
        <is>
          <t>R008_Divya_Krishnan.pdf</t>
        </is>
      </c>
      <c r="F9" s="2" t="inlineStr">
        <is>
          <t>Strong</t>
        </is>
      </c>
      <c r="G9" s="2" t="n">
        <v>71</v>
      </c>
      <c r="H9" s="14" t="inlineStr"/>
      <c r="I9" s="14" t="inlineStr"/>
      <c r="J9" s="14" t="inlineStr"/>
      <c r="K9" s="14" t="inlineStr"/>
      <c r="L9" s="14" t="inlineStr"/>
      <c r="M9" s="14" t="inlineStr"/>
      <c r="N9" s="14" t="inlineStr"/>
      <c r="O9" s="14" t="inlineStr"/>
      <c r="P9" s="14" t="inlineStr"/>
      <c r="Q9" s="2">
        <f>IF(O9="","",IF(O9=F9,"Y","N"))</f>
        <v/>
      </c>
      <c r="R9" s="2">
        <f>IF(H9="","",H9-G9)</f>
        <v/>
      </c>
      <c r="S9" s="15" t="inlineStr"/>
    </row>
    <row r="10" ht="25" customHeight="1">
      <c r="A10" s="5" t="inlineStr">
        <is>
          <t>JD002</t>
        </is>
      </c>
      <c r="B10" s="5" t="inlineStr">
        <is>
          <t>JD002_AI_Engineer.pdf</t>
        </is>
      </c>
      <c r="C10" s="5" t="inlineStr">
        <is>
          <t>R009</t>
        </is>
      </c>
      <c r="D10" s="5" t="inlineStr">
        <is>
          <t>Amar Singh</t>
        </is>
      </c>
      <c r="E10" s="5" t="inlineStr">
        <is>
          <t>R009_Amar_Singh.pdf</t>
        </is>
      </c>
      <c r="F10" s="5" t="inlineStr">
        <is>
          <t>Medium</t>
        </is>
      </c>
      <c r="G10" s="5" t="n">
        <v>39</v>
      </c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5">
        <f>IF(O10="","",IF(O10=F10,"Y","N"))</f>
        <v/>
      </c>
      <c r="R10" s="5">
        <f>IF(H10="","",H10-G10)</f>
        <v/>
      </c>
      <c r="S10" s="15" t="inlineStr"/>
    </row>
    <row r="11" ht="25" customHeight="1">
      <c r="A11" s="5" t="inlineStr">
        <is>
          <t>JD002</t>
        </is>
      </c>
      <c r="B11" s="5" t="inlineStr">
        <is>
          <t>JD002_AI_Engineer.pdf</t>
        </is>
      </c>
      <c r="C11" s="5" t="inlineStr">
        <is>
          <t>R010</t>
        </is>
      </c>
      <c r="D11" s="5" t="inlineStr">
        <is>
          <t>Neha Gupta</t>
        </is>
      </c>
      <c r="E11" s="5" t="inlineStr">
        <is>
          <t>R010_Neha_Gupta.pdf</t>
        </is>
      </c>
      <c r="F11" s="5" t="inlineStr">
        <is>
          <t>Medium</t>
        </is>
      </c>
      <c r="G11" s="5" t="n">
        <v>47</v>
      </c>
      <c r="H11" s="14" t="inlineStr"/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  <c r="P11" s="14" t="inlineStr"/>
      <c r="Q11" s="5">
        <f>IF(O11="","",IF(O11=F11,"Y","N"))</f>
        <v/>
      </c>
      <c r="R11" s="5">
        <f>IF(H11="","",H11-G11)</f>
        <v/>
      </c>
      <c r="S11" s="15" t="inlineStr"/>
    </row>
    <row r="12" ht="25" customHeight="1">
      <c r="A12" s="8" t="inlineStr">
        <is>
          <t>JD002</t>
        </is>
      </c>
      <c r="B12" s="8" t="inlineStr">
        <is>
          <t>JD002_AI_Engineer.pdf</t>
        </is>
      </c>
      <c r="C12" s="8" t="inlineStr">
        <is>
          <t>R011</t>
        </is>
      </c>
      <c r="D12" s="8" t="inlineStr">
        <is>
          <t>Rajesh Babu</t>
        </is>
      </c>
      <c r="E12" s="8" t="inlineStr">
        <is>
          <t>R011_Rajesh_Babu.pdf</t>
        </is>
      </c>
      <c r="F12" s="8" t="inlineStr">
        <is>
          <t>Weak</t>
        </is>
      </c>
      <c r="G12" s="8" t="n">
        <v>15</v>
      </c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8">
        <f>IF(O12="","",IF(O12=F12,"Y","N"))</f>
        <v/>
      </c>
      <c r="R12" s="8">
        <f>IF(H12="","",H12-G12)</f>
        <v/>
      </c>
      <c r="S12" s="15" t="inlineStr"/>
    </row>
    <row r="13" ht="25" customHeight="1">
      <c r="A13" s="8" t="inlineStr">
        <is>
          <t>JD002</t>
        </is>
      </c>
      <c r="B13" s="8" t="inlineStr">
        <is>
          <t>JD002_AI_Engineer.pdf</t>
        </is>
      </c>
      <c r="C13" s="8" t="inlineStr">
        <is>
          <t>R012</t>
        </is>
      </c>
      <c r="D13" s="8" t="inlineStr">
        <is>
          <t>Pooja Menon</t>
        </is>
      </c>
      <c r="E13" s="8" t="inlineStr">
        <is>
          <t>R012_Pooja_Menon.pdf</t>
        </is>
      </c>
      <c r="F13" s="8" t="inlineStr">
        <is>
          <t>Weak</t>
        </is>
      </c>
      <c r="G13" s="8" t="n">
        <v>10</v>
      </c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inlineStr"/>
      <c r="Q13" s="8">
        <f>IF(O13="","",IF(O13=F13,"Y","N"))</f>
        <v/>
      </c>
      <c r="R13" s="8">
        <f>IF(H13="","",H13-G13)</f>
        <v/>
      </c>
      <c r="S13" s="15" t="inlineStr"/>
    </row>
    <row r="14" ht="25" customHeight="1">
      <c r="A14" s="2" t="inlineStr">
        <is>
          <t>JD003</t>
        </is>
      </c>
      <c r="B14" s="2" t="inlineStr">
        <is>
          <t>JD003_Data_Engineer.pdf</t>
        </is>
      </c>
      <c r="C14" s="2" t="inlineStr">
        <is>
          <t>R013</t>
        </is>
      </c>
      <c r="D14" s="2" t="inlineStr">
        <is>
          <t>Suresh Reddy</t>
        </is>
      </c>
      <c r="E14" s="2" t="inlineStr">
        <is>
          <t>R013_Suresh_Reddy.pdf</t>
        </is>
      </c>
      <c r="F14" s="2" t="inlineStr">
        <is>
          <t>Strong</t>
        </is>
      </c>
      <c r="G14" s="2" t="n">
        <v>81</v>
      </c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  <c r="P14" s="14" t="inlineStr"/>
      <c r="Q14" s="2">
        <f>IF(O14="","",IF(O14=F14,"Y","N"))</f>
        <v/>
      </c>
      <c r="R14" s="2">
        <f>IF(H14="","",H14-G14)</f>
        <v/>
      </c>
      <c r="S14" s="15" t="inlineStr"/>
    </row>
    <row r="15" ht="25" customHeight="1">
      <c r="A15" s="2" t="inlineStr">
        <is>
          <t>JD003</t>
        </is>
      </c>
      <c r="B15" s="2" t="inlineStr">
        <is>
          <t>JD003_Data_Engineer.pdf</t>
        </is>
      </c>
      <c r="C15" s="2" t="inlineStr">
        <is>
          <t>R014</t>
        </is>
      </c>
      <c r="D15" s="2" t="inlineStr">
        <is>
          <t>Kavitha Subramanian</t>
        </is>
      </c>
      <c r="E15" s="2" t="inlineStr">
        <is>
          <t>R014_Kavitha_Subramanian.pdf</t>
        </is>
      </c>
      <c r="F15" s="2" t="inlineStr">
        <is>
          <t>Strong</t>
        </is>
      </c>
      <c r="G15" s="2" t="n">
        <v>80</v>
      </c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2">
        <f>IF(O15="","",IF(O15=F15,"Y","N"))</f>
        <v/>
      </c>
      <c r="R15" s="2">
        <f>IF(H15="","",H15-G15)</f>
        <v/>
      </c>
      <c r="S15" s="15" t="inlineStr"/>
    </row>
    <row r="16" ht="25" customHeight="1">
      <c r="A16" s="5" t="inlineStr">
        <is>
          <t>JD003</t>
        </is>
      </c>
      <c r="B16" s="5" t="inlineStr">
        <is>
          <t>JD003_Data_Engineer.pdf</t>
        </is>
      </c>
      <c r="C16" s="5" t="inlineStr">
        <is>
          <t>R015</t>
        </is>
      </c>
      <c r="D16" s="5" t="inlineStr">
        <is>
          <t>Mohit Agarwal</t>
        </is>
      </c>
      <c r="E16" s="5" t="inlineStr">
        <is>
          <t>R015_Mohit_Agarwal.pdf</t>
        </is>
      </c>
      <c r="F16" s="5" t="inlineStr">
        <is>
          <t>Medium</t>
        </is>
      </c>
      <c r="G16" s="5" t="n">
        <v>36</v>
      </c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5">
        <f>IF(O16="","",IF(O16=F16,"Y","N"))</f>
        <v/>
      </c>
      <c r="R16" s="5">
        <f>IF(H16="","",H16-G16)</f>
        <v/>
      </c>
      <c r="S16" s="15" t="inlineStr"/>
    </row>
    <row r="17" ht="25" customHeight="1">
      <c r="A17" s="5" t="inlineStr">
        <is>
          <t>JD003</t>
        </is>
      </c>
      <c r="B17" s="5" t="inlineStr">
        <is>
          <t>JD003_Data_Engineer.pdf</t>
        </is>
      </c>
      <c r="C17" s="5" t="inlineStr">
        <is>
          <t>R016</t>
        </is>
      </c>
      <c r="D17" s="5" t="inlineStr">
        <is>
          <t>Rahul Verma</t>
        </is>
      </c>
      <c r="E17" s="5" t="inlineStr">
        <is>
          <t>R016_Rahul_Verma.pdf</t>
        </is>
      </c>
      <c r="F17" s="5" t="inlineStr">
        <is>
          <t>Medium</t>
        </is>
      </c>
      <c r="G17" s="5" t="n">
        <v>30</v>
      </c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5">
        <f>IF(O17="","",IF(O17=F17,"Y","N"))</f>
        <v/>
      </c>
      <c r="R17" s="5">
        <f>IF(H17="","",H17-G17)</f>
        <v/>
      </c>
      <c r="S17" s="15" t="inlineStr"/>
    </row>
    <row r="18" ht="25" customHeight="1">
      <c r="A18" s="8" t="inlineStr">
        <is>
          <t>JD003</t>
        </is>
      </c>
      <c r="B18" s="8" t="inlineStr">
        <is>
          <t>JD003_Data_Engineer.pdf</t>
        </is>
      </c>
      <c r="C18" s="8" t="inlineStr">
        <is>
          <t>R017</t>
        </is>
      </c>
      <c r="D18" s="8" t="inlineStr">
        <is>
          <t>Meena Pillai</t>
        </is>
      </c>
      <c r="E18" s="8" t="inlineStr">
        <is>
          <t>R017_Meena_Pillai.pdf</t>
        </is>
      </c>
      <c r="F18" s="8" t="inlineStr">
        <is>
          <t>Weak</t>
        </is>
      </c>
      <c r="G18" s="8" t="n">
        <v>13</v>
      </c>
      <c r="H18" s="14" t="inlineStr"/>
      <c r="I18" s="14" t="inlineStr"/>
      <c r="J18" s="14" t="inlineStr"/>
      <c r="K18" s="14" t="inlineStr"/>
      <c r="L18" s="14" t="inlineStr"/>
      <c r="M18" s="14" t="inlineStr"/>
      <c r="N18" s="14" t="inlineStr"/>
      <c r="O18" s="14" t="inlineStr"/>
      <c r="P18" s="14" t="inlineStr"/>
      <c r="Q18" s="8">
        <f>IF(O18="","",IF(O18=F18,"Y","N"))</f>
        <v/>
      </c>
      <c r="R18" s="8">
        <f>IF(H18="","",H18-G18)</f>
        <v/>
      </c>
      <c r="S18" s="15" t="inlineStr"/>
    </row>
    <row r="19" ht="25" customHeight="1">
      <c r="A19" s="8" t="inlineStr">
        <is>
          <t>JD003</t>
        </is>
      </c>
      <c r="B19" s="8" t="inlineStr">
        <is>
          <t>JD003_Data_Engineer.pdf</t>
        </is>
      </c>
      <c r="C19" s="8" t="inlineStr">
        <is>
          <t>R018</t>
        </is>
      </c>
      <c r="D19" s="8" t="inlineStr">
        <is>
          <t>Tarun Malhotra</t>
        </is>
      </c>
      <c r="E19" s="8" t="inlineStr">
        <is>
          <t>R018_Tarun_Malhotra.pdf</t>
        </is>
      </c>
      <c r="F19" s="8" t="inlineStr">
        <is>
          <t>Weak</t>
        </is>
      </c>
      <c r="G19" s="8" t="n">
        <v>14</v>
      </c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8">
        <f>IF(O19="","",IF(O19=F19,"Y","N"))</f>
        <v/>
      </c>
      <c r="R19" s="8">
        <f>IF(H19="","",H19-G19)</f>
        <v/>
      </c>
      <c r="S19" s="15" t="inlineStr"/>
    </row>
    <row r="20" ht="25" customHeight="1">
      <c r="A20" s="2" t="inlineStr">
        <is>
          <t>JD004</t>
        </is>
      </c>
      <c r="B20" s="2" t="inlineStr">
        <is>
          <t>JD004_ServiceNow_Engineer.pdf</t>
        </is>
      </c>
      <c r="C20" s="2" t="inlineStr">
        <is>
          <t>R019</t>
        </is>
      </c>
      <c r="D20" s="2" t="inlineStr">
        <is>
          <t>Ajay Sharma</t>
        </is>
      </c>
      <c r="E20" s="2" t="inlineStr">
        <is>
          <t>R019_Ajay_Sharma.pdf</t>
        </is>
      </c>
      <c r="F20" s="2" t="inlineStr">
        <is>
          <t>Strong</t>
        </is>
      </c>
      <c r="G20" s="2" t="n">
        <v>100</v>
      </c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4" t="inlineStr"/>
      <c r="Q20" s="2">
        <f>IF(O20="","",IF(O20=F20,"Y","N"))</f>
        <v/>
      </c>
      <c r="R20" s="2">
        <f>IF(H20="","",H20-G20)</f>
        <v/>
      </c>
      <c r="S20" s="15" t="inlineStr"/>
    </row>
    <row r="21" ht="25" customHeight="1">
      <c r="A21" s="2" t="inlineStr">
        <is>
          <t>JD004</t>
        </is>
      </c>
      <c r="B21" s="2" t="inlineStr">
        <is>
          <t>JD004_ServiceNow_Engineer.pdf</t>
        </is>
      </c>
      <c r="C21" s="2" t="inlineStr">
        <is>
          <t>R020</t>
        </is>
      </c>
      <c r="D21" s="2" t="inlineStr">
        <is>
          <t>Shalini Reddy</t>
        </is>
      </c>
      <c r="E21" s="2" t="inlineStr">
        <is>
          <t>R020_Shalini_Reddy.pdf</t>
        </is>
      </c>
      <c r="F21" s="2" t="inlineStr">
        <is>
          <t>Strong</t>
        </is>
      </c>
      <c r="G21" s="2" t="n">
        <v>84</v>
      </c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  <c r="P21" s="14" t="inlineStr"/>
      <c r="Q21" s="2">
        <f>IF(O21="","",IF(O21=F21,"Y","N"))</f>
        <v/>
      </c>
      <c r="R21" s="2">
        <f>IF(H21="","",H21-G21)</f>
        <v/>
      </c>
      <c r="S21" s="15" t="inlineStr"/>
    </row>
    <row r="22" ht="25" customHeight="1">
      <c r="A22" s="5" t="inlineStr">
        <is>
          <t>JD004</t>
        </is>
      </c>
      <c r="B22" s="5" t="inlineStr">
        <is>
          <t>JD004_ServiceNow_Engineer.pdf</t>
        </is>
      </c>
      <c r="C22" s="5" t="inlineStr">
        <is>
          <t>R021</t>
        </is>
      </c>
      <c r="D22" s="5" t="inlineStr">
        <is>
          <t>Dinesh Kumar</t>
        </is>
      </c>
      <c r="E22" s="5" t="inlineStr">
        <is>
          <t>R021_Dinesh_Kumar.pdf</t>
        </is>
      </c>
      <c r="F22" s="5" t="inlineStr">
        <is>
          <t>Medium</t>
        </is>
      </c>
      <c r="G22" s="5" t="n">
        <v>33</v>
      </c>
      <c r="H22" s="14" t="inlineStr"/>
      <c r="I22" s="14" t="inlineStr"/>
      <c r="J22" s="14" t="inlineStr"/>
      <c r="K22" s="14" t="inlineStr"/>
      <c r="L22" s="14" t="inlineStr"/>
      <c r="M22" s="14" t="inlineStr"/>
      <c r="N22" s="14" t="inlineStr"/>
      <c r="O22" s="14" t="inlineStr"/>
      <c r="P22" s="14" t="inlineStr"/>
      <c r="Q22" s="5">
        <f>IF(O22="","",IF(O22=F22,"Y","N"))</f>
        <v/>
      </c>
      <c r="R22" s="5">
        <f>IF(H22="","",H22-G22)</f>
        <v/>
      </c>
      <c r="S22" s="15" t="inlineStr"/>
    </row>
    <row r="23" ht="25" customHeight="1">
      <c r="A23" s="5" t="inlineStr">
        <is>
          <t>JD004</t>
        </is>
      </c>
      <c r="B23" s="5" t="inlineStr">
        <is>
          <t>JD004_ServiceNow_Engineer.pdf</t>
        </is>
      </c>
      <c r="C23" s="5" t="inlineStr">
        <is>
          <t>R022</t>
        </is>
      </c>
      <c r="D23" s="5" t="inlineStr">
        <is>
          <t>Preeti Jain</t>
        </is>
      </c>
      <c r="E23" s="5" t="inlineStr">
        <is>
          <t>R022_Preeti_Jain.pdf</t>
        </is>
      </c>
      <c r="F23" s="5" t="inlineStr">
        <is>
          <t>Medium</t>
        </is>
      </c>
      <c r="G23" s="5" t="n">
        <v>31</v>
      </c>
      <c r="H23" s="14" t="inlineStr"/>
      <c r="I23" s="14" t="inlineStr"/>
      <c r="J23" s="14" t="inlineStr"/>
      <c r="K23" s="14" t="inlineStr"/>
      <c r="L23" s="14" t="inlineStr"/>
      <c r="M23" s="14" t="inlineStr"/>
      <c r="N23" s="14" t="inlineStr"/>
      <c r="O23" s="14" t="inlineStr"/>
      <c r="P23" s="14" t="inlineStr"/>
      <c r="Q23" s="5">
        <f>IF(O23="","",IF(O23=F23,"Y","N"))</f>
        <v/>
      </c>
      <c r="R23" s="5">
        <f>IF(H23="","",H23-G23)</f>
        <v/>
      </c>
      <c r="S23" s="15" t="inlineStr"/>
    </row>
    <row r="24" ht="25" customHeight="1">
      <c r="A24" s="8" t="inlineStr">
        <is>
          <t>JD004</t>
        </is>
      </c>
      <c r="B24" s="8" t="inlineStr">
        <is>
          <t>JD004_ServiceNow_Engineer.pdf</t>
        </is>
      </c>
      <c r="C24" s="8" t="inlineStr">
        <is>
          <t>R023</t>
        </is>
      </c>
      <c r="D24" s="8" t="inlineStr">
        <is>
          <t>Sunil Tiwari</t>
        </is>
      </c>
      <c r="E24" s="8" t="inlineStr">
        <is>
          <t>R023_Sunil_Tiwari.pdf</t>
        </is>
      </c>
      <c r="F24" s="8" t="inlineStr">
        <is>
          <t>Weak</t>
        </is>
      </c>
      <c r="G24" s="8" t="n">
        <v>11</v>
      </c>
      <c r="H24" s="14" t="inlineStr"/>
      <c r="I24" s="14" t="inlineStr"/>
      <c r="J24" s="14" t="inlineStr"/>
      <c r="K24" s="14" t="inlineStr"/>
      <c r="L24" s="14" t="inlineStr"/>
      <c r="M24" s="14" t="inlineStr"/>
      <c r="N24" s="14" t="inlineStr"/>
      <c r="O24" s="14" t="inlineStr"/>
      <c r="P24" s="14" t="inlineStr"/>
      <c r="Q24" s="8">
        <f>IF(O24="","",IF(O24=F24,"Y","N"))</f>
        <v/>
      </c>
      <c r="R24" s="8">
        <f>IF(H24="","",H24-G24)</f>
        <v/>
      </c>
      <c r="S24" s="15" t="inlineStr"/>
    </row>
    <row r="25" ht="25" customHeight="1">
      <c r="A25" s="8" t="inlineStr">
        <is>
          <t>JD004</t>
        </is>
      </c>
      <c r="B25" s="8" t="inlineStr">
        <is>
          <t>JD004_ServiceNow_Engineer.pdf</t>
        </is>
      </c>
      <c r="C25" s="8" t="inlineStr">
        <is>
          <t>R024</t>
        </is>
      </c>
      <c r="D25" s="8" t="inlineStr">
        <is>
          <t>Nisha Thomas</t>
        </is>
      </c>
      <c r="E25" s="8" t="inlineStr">
        <is>
          <t>R024_Nisha_Thomas.pdf</t>
        </is>
      </c>
      <c r="F25" s="8" t="inlineStr">
        <is>
          <t>Weak</t>
        </is>
      </c>
      <c r="G25" s="8" t="n">
        <v>7</v>
      </c>
      <c r="H25" s="14" t="inlineStr"/>
      <c r="I25" s="14" t="inlineStr"/>
      <c r="J25" s="14" t="inlineStr"/>
      <c r="K25" s="14" t="inlineStr"/>
      <c r="L25" s="14" t="inlineStr"/>
      <c r="M25" s="14" t="inlineStr"/>
      <c r="N25" s="14" t="inlineStr"/>
      <c r="O25" s="14" t="inlineStr"/>
      <c r="P25" s="14" t="inlineStr"/>
      <c r="Q25" s="8">
        <f>IF(O25="","",IF(O25=F25,"Y","N"))</f>
        <v/>
      </c>
      <c r="R25" s="8">
        <f>IF(H25="","",H25-G25)</f>
        <v/>
      </c>
      <c r="S25" s="15" t="inlineStr"/>
    </row>
    <row r="26" ht="25" customHeight="1">
      <c r="A26" s="2" t="inlineStr">
        <is>
          <t>JD005</t>
        </is>
      </c>
      <c r="B26" s="2" t="inlineStr">
        <is>
          <t>JD005_DevOps___Cloud_Engineer.pdf</t>
        </is>
      </c>
      <c r="C26" s="2" t="inlineStr">
        <is>
          <t>R025</t>
        </is>
      </c>
      <c r="D26" s="2" t="inlineStr">
        <is>
          <t>Nikhil Pandey</t>
        </is>
      </c>
      <c r="E26" s="2" t="inlineStr">
        <is>
          <t>R025_Nikhil_Pandey.pdf</t>
        </is>
      </c>
      <c r="F26" s="2" t="inlineStr">
        <is>
          <t>Strong</t>
        </is>
      </c>
      <c r="G26" s="2" t="n">
        <v>100</v>
      </c>
      <c r="H26" s="14" t="inlineStr"/>
      <c r="I26" s="14" t="inlineStr"/>
      <c r="J26" s="14" t="inlineStr"/>
      <c r="K26" s="14" t="inlineStr"/>
      <c r="L26" s="14" t="inlineStr"/>
      <c r="M26" s="14" t="inlineStr"/>
      <c r="N26" s="14" t="inlineStr"/>
      <c r="O26" s="14" t="inlineStr"/>
      <c r="P26" s="14" t="inlineStr"/>
      <c r="Q26" s="2">
        <f>IF(O26="","",IF(O26=F26,"Y","N"))</f>
        <v/>
      </c>
      <c r="R26" s="2">
        <f>IF(H26="","",H26-G26)</f>
        <v/>
      </c>
      <c r="S26" s="15" t="inlineStr"/>
    </row>
    <row r="27" ht="25" customHeight="1">
      <c r="A27" s="2" t="inlineStr">
        <is>
          <t>JD005</t>
        </is>
      </c>
      <c r="B27" s="2" t="inlineStr">
        <is>
          <t>JD005_DevOps___Cloud_Engineer.pdf</t>
        </is>
      </c>
      <c r="C27" s="2" t="inlineStr">
        <is>
          <t>R026</t>
        </is>
      </c>
      <c r="D27" s="2" t="inlineStr">
        <is>
          <t>Gayathri Nair</t>
        </is>
      </c>
      <c r="E27" s="2" t="inlineStr">
        <is>
          <t>R026_Gayathri_Nair.pdf</t>
        </is>
      </c>
      <c r="F27" s="2" t="inlineStr">
        <is>
          <t>Strong</t>
        </is>
      </c>
      <c r="G27" s="2" t="n">
        <v>91</v>
      </c>
      <c r="H27" s="14" t="inlineStr"/>
      <c r="I27" s="14" t="inlineStr"/>
      <c r="J27" s="14" t="inlineStr"/>
      <c r="K27" s="14" t="inlineStr"/>
      <c r="L27" s="14" t="inlineStr"/>
      <c r="M27" s="14" t="inlineStr"/>
      <c r="N27" s="14" t="inlineStr"/>
      <c r="O27" s="14" t="inlineStr"/>
      <c r="P27" s="14" t="inlineStr"/>
      <c r="Q27" s="2">
        <f>IF(O27="","",IF(O27=F27,"Y","N"))</f>
        <v/>
      </c>
      <c r="R27" s="2">
        <f>IF(H27="","",H27-G27)</f>
        <v/>
      </c>
      <c r="S27" s="15" t="inlineStr"/>
    </row>
    <row r="28" ht="25" customHeight="1">
      <c r="A28" s="5" t="inlineStr">
        <is>
          <t>JD005</t>
        </is>
      </c>
      <c r="B28" s="5" t="inlineStr">
        <is>
          <t>JD005_DevOps___Cloud_Engineer.pdf</t>
        </is>
      </c>
      <c r="C28" s="5" t="inlineStr">
        <is>
          <t>R027</t>
        </is>
      </c>
      <c r="D28" s="5" t="inlineStr">
        <is>
          <t>Ashwin Bhat</t>
        </is>
      </c>
      <c r="E28" s="5" t="inlineStr">
        <is>
          <t>R027_Ashwin_Bhat.pdf</t>
        </is>
      </c>
      <c r="F28" s="5" t="inlineStr">
        <is>
          <t>Medium</t>
        </is>
      </c>
      <c r="G28" s="5" t="n">
        <v>58</v>
      </c>
      <c r="H28" s="14" t="inlineStr"/>
      <c r="I28" s="14" t="inlineStr"/>
      <c r="J28" s="14" t="inlineStr"/>
      <c r="K28" s="14" t="inlineStr"/>
      <c r="L28" s="14" t="inlineStr"/>
      <c r="M28" s="14" t="inlineStr"/>
      <c r="N28" s="14" t="inlineStr"/>
      <c r="O28" s="14" t="inlineStr"/>
      <c r="P28" s="14" t="inlineStr"/>
      <c r="Q28" s="5">
        <f>IF(O28="","",IF(O28=F28,"Y","N"))</f>
        <v/>
      </c>
      <c r="R28" s="5">
        <f>IF(H28="","",H28-G28)</f>
        <v/>
      </c>
      <c r="S28" s="15" t="inlineStr"/>
    </row>
    <row r="29" ht="25" customHeight="1">
      <c r="A29" s="5" t="inlineStr">
        <is>
          <t>JD005</t>
        </is>
      </c>
      <c r="B29" s="5" t="inlineStr">
        <is>
          <t>JD005_DevOps___Cloud_Engineer.pdf</t>
        </is>
      </c>
      <c r="C29" s="5" t="inlineStr">
        <is>
          <t>R028</t>
        </is>
      </c>
      <c r="D29" s="5" t="inlineStr">
        <is>
          <t>Vivek Sharma</t>
        </is>
      </c>
      <c r="E29" s="5" t="inlineStr">
        <is>
          <t>R028_Vivek_Sharma.pdf</t>
        </is>
      </c>
      <c r="F29" s="5" t="inlineStr">
        <is>
          <t>Medium</t>
        </is>
      </c>
      <c r="G29" s="5" t="n">
        <v>37</v>
      </c>
      <c r="H29" s="14" t="inlineStr"/>
      <c r="I29" s="14" t="inlineStr"/>
      <c r="J29" s="14" t="inlineStr"/>
      <c r="K29" s="14" t="inlineStr"/>
      <c r="L29" s="14" t="inlineStr"/>
      <c r="M29" s="14" t="inlineStr"/>
      <c r="N29" s="14" t="inlineStr"/>
      <c r="O29" s="14" t="inlineStr"/>
      <c r="P29" s="14" t="inlineStr"/>
      <c r="Q29" s="5">
        <f>IF(O29="","",IF(O29=F29,"Y","N"))</f>
        <v/>
      </c>
      <c r="R29" s="5">
        <f>IF(H29="","",H29-G29)</f>
        <v/>
      </c>
      <c r="S29" s="15" t="inlineStr"/>
    </row>
    <row r="30" ht="25" customHeight="1">
      <c r="A30" s="8" t="inlineStr">
        <is>
          <t>JD005</t>
        </is>
      </c>
      <c r="B30" s="8" t="inlineStr">
        <is>
          <t>JD005_DevOps___Cloud_Engineer.pdf</t>
        </is>
      </c>
      <c r="C30" s="8" t="inlineStr">
        <is>
          <t>R029</t>
        </is>
      </c>
      <c r="D30" s="8" t="inlineStr">
        <is>
          <t>Ramesh Iyer</t>
        </is>
      </c>
      <c r="E30" s="8" t="inlineStr">
        <is>
          <t>R029_Ramesh_Iyer.pdf</t>
        </is>
      </c>
      <c r="F30" s="8" t="inlineStr">
        <is>
          <t>Weak</t>
        </is>
      </c>
      <c r="G30" s="8" t="n">
        <v>17</v>
      </c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inlineStr"/>
      <c r="P30" s="14" t="inlineStr"/>
      <c r="Q30" s="8">
        <f>IF(O30="","",IF(O30=F30,"Y","N"))</f>
        <v/>
      </c>
      <c r="R30" s="8">
        <f>IF(H30="","",H30-G30)</f>
        <v/>
      </c>
      <c r="S30" s="15" t="inlineStr"/>
    </row>
    <row r="31" ht="25" customHeight="1">
      <c r="A31" s="8" t="inlineStr">
        <is>
          <t>JD005</t>
        </is>
      </c>
      <c r="B31" s="8" t="inlineStr">
        <is>
          <t>JD005_DevOps___Cloud_Engineer.pdf</t>
        </is>
      </c>
      <c r="C31" s="8" t="inlineStr">
        <is>
          <t>R030</t>
        </is>
      </c>
      <c r="D31" s="8" t="inlineStr">
        <is>
          <t>Lakshmi Priya</t>
        </is>
      </c>
      <c r="E31" s="8" t="inlineStr">
        <is>
          <t>R030_Lakshmi_Priya.pdf</t>
        </is>
      </c>
      <c r="F31" s="8" t="inlineStr">
        <is>
          <t>Weak</t>
        </is>
      </c>
      <c r="G31" s="8" t="n">
        <v>18</v>
      </c>
      <c r="H31" s="14" t="inlineStr"/>
      <c r="I31" s="14" t="inlineStr"/>
      <c r="J31" s="14" t="inlineStr"/>
      <c r="K31" s="14" t="inlineStr"/>
      <c r="L31" s="14" t="inlineStr"/>
      <c r="M31" s="14" t="inlineStr"/>
      <c r="N31" s="14" t="inlineStr"/>
      <c r="O31" s="14" t="inlineStr"/>
      <c r="P31" s="14" t="inlineStr"/>
      <c r="Q31" s="8">
        <f>IF(O31="","",IF(O31=F31,"Y","N"))</f>
        <v/>
      </c>
      <c r="R31" s="8">
        <f>IF(H31="","",H31-G31)</f>
        <v/>
      </c>
      <c r="S31" s="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18" customWidth="1" min="4" max="4"/>
    <col width="16" customWidth="1" min="5" max="5"/>
    <col width="13" customWidth="1" min="6" max="6"/>
    <col width="14" customWidth="1" min="7" max="7"/>
    <col width="14" customWidth="1" min="8" max="8"/>
    <col width="14" customWidth="1" min="9" max="9"/>
    <col width="30" customWidth="1" min="10" max="10"/>
  </cols>
  <sheetData>
    <row r="1">
      <c r="A1" s="16" t="inlineStr">
        <is>
          <t>Resume Ranker — Accuracy Summary by JD</t>
        </is>
      </c>
    </row>
    <row r="2" ht="36" customHeight="1">
      <c r="A2" s="1" t="inlineStr">
        <is>
          <t>JD ID</t>
        </is>
      </c>
      <c r="B2" s="1" t="inlineStr">
        <is>
          <t>JD Title</t>
        </is>
      </c>
      <c r="C2" s="1" t="inlineStr">
        <is>
          <t>Resumes</t>
        </is>
      </c>
      <c r="D2" s="1" t="inlineStr">
        <is>
          <t>Correct Match Level</t>
        </is>
      </c>
      <c r="E2" s="1" t="inlineStr">
        <is>
          <t>Precision@2
(Strongs in top 2)</t>
        </is>
      </c>
      <c r="F2" s="1" t="inlineStr">
        <is>
          <t>Avg GT Score</t>
        </is>
      </c>
      <c r="G2" s="1" t="inlineStr">
        <is>
          <t>Avg Your Score</t>
        </is>
      </c>
      <c r="H2" s="1" t="inlineStr">
        <is>
          <t>Avg Score Diff</t>
        </is>
      </c>
      <c r="I2" s="1" t="inlineStr">
        <is>
          <t>NDCG@6 (manual)</t>
        </is>
      </c>
      <c r="J2" s="1" t="inlineStr">
        <is>
          <t>Notes</t>
        </is>
      </c>
    </row>
    <row r="3">
      <c r="A3" s="17" t="inlineStr">
        <is>
          <t>JD001</t>
        </is>
      </c>
      <c r="B3" s="18" t="inlineStr">
        <is>
          <t>Software Engineer</t>
        </is>
      </c>
      <c r="C3" s="17" t="n">
        <v>6</v>
      </c>
      <c r="D3" s="17">
        <f>COUNTIFS('Your Results'!A$2:A$31,A3,'Your Results'!Q$2:Q$31,"Y")</f>
        <v/>
      </c>
      <c r="E3" s="17">
        <f>COUNTIFS('Your Results'!A$2:A$31,A3,'Your Results'!F$2:F$31,"Strong",'Your Results'!P$2:P$31,"&lt;="&amp;2)</f>
        <v/>
      </c>
      <c r="F3" s="17">
        <f>AVERAGEIF('Ground Truth'!A$2:A$31,A3,'Ground Truth'!H$2:H$31)</f>
        <v/>
      </c>
      <c r="G3" s="17">
        <f>AVERAGEIFS('Your Results'!H$2:H$31,'Your Results'!A$2:A$31,A3,'Your Results'!H$2:H$31,"&lt;&gt;"&amp;"")</f>
        <v/>
      </c>
      <c r="H3" s="17">
        <f>IFERROR(G3-F3,"")</f>
        <v/>
      </c>
      <c r="I3" s="17" t="inlineStr"/>
      <c r="J3" s="17" t="inlineStr"/>
    </row>
    <row r="4">
      <c r="A4" s="19" t="inlineStr">
        <is>
          <t>JD002</t>
        </is>
      </c>
      <c r="B4" s="20" t="inlineStr">
        <is>
          <t>AI Engineer</t>
        </is>
      </c>
      <c r="C4" s="19" t="n">
        <v>6</v>
      </c>
      <c r="D4" s="19">
        <f>COUNTIFS('Your Results'!A$2:A$31,A4,'Your Results'!Q$2:Q$31,"Y")</f>
        <v/>
      </c>
      <c r="E4" s="19">
        <f>COUNTIFS('Your Results'!A$2:A$31,A4,'Your Results'!F$2:F$31,"Strong",'Your Results'!P$2:P$31,"&lt;="&amp;2)</f>
        <v/>
      </c>
      <c r="F4" s="19">
        <f>AVERAGEIF('Ground Truth'!A$2:A$31,A4,'Ground Truth'!H$2:H$31)</f>
        <v/>
      </c>
      <c r="G4" s="19">
        <f>AVERAGEIFS('Your Results'!H$2:H$31,'Your Results'!A$2:A$31,A4,'Your Results'!H$2:H$31,"&lt;&gt;"&amp;"")</f>
        <v/>
      </c>
      <c r="H4" s="19">
        <f>IFERROR(G4-F4,"")</f>
        <v/>
      </c>
      <c r="I4" s="19" t="inlineStr"/>
      <c r="J4" s="19" t="inlineStr"/>
    </row>
    <row r="5">
      <c r="A5" s="17" t="inlineStr">
        <is>
          <t>JD003</t>
        </is>
      </c>
      <c r="B5" s="18" t="inlineStr">
        <is>
          <t>Data Engineer</t>
        </is>
      </c>
      <c r="C5" s="17" t="n">
        <v>6</v>
      </c>
      <c r="D5" s="17">
        <f>COUNTIFS('Your Results'!A$2:A$31,A5,'Your Results'!Q$2:Q$31,"Y")</f>
        <v/>
      </c>
      <c r="E5" s="17">
        <f>COUNTIFS('Your Results'!A$2:A$31,A5,'Your Results'!F$2:F$31,"Strong",'Your Results'!P$2:P$31,"&lt;="&amp;2)</f>
        <v/>
      </c>
      <c r="F5" s="17">
        <f>AVERAGEIF('Ground Truth'!A$2:A$31,A5,'Ground Truth'!H$2:H$31)</f>
        <v/>
      </c>
      <c r="G5" s="17">
        <f>AVERAGEIFS('Your Results'!H$2:H$31,'Your Results'!A$2:A$31,A5,'Your Results'!H$2:H$31,"&lt;&gt;"&amp;"")</f>
        <v/>
      </c>
      <c r="H5" s="17">
        <f>IFERROR(G5-F5,"")</f>
        <v/>
      </c>
      <c r="I5" s="17" t="inlineStr"/>
      <c r="J5" s="17" t="inlineStr"/>
    </row>
    <row r="6">
      <c r="A6" s="19" t="inlineStr">
        <is>
          <t>JD004</t>
        </is>
      </c>
      <c r="B6" s="20" t="inlineStr">
        <is>
          <t>ServiceNow Engineer</t>
        </is>
      </c>
      <c r="C6" s="19" t="n">
        <v>6</v>
      </c>
      <c r="D6" s="19">
        <f>COUNTIFS('Your Results'!A$2:A$31,A6,'Your Results'!Q$2:Q$31,"Y")</f>
        <v/>
      </c>
      <c r="E6" s="19">
        <f>COUNTIFS('Your Results'!A$2:A$31,A6,'Your Results'!F$2:F$31,"Strong",'Your Results'!P$2:P$31,"&lt;="&amp;2)</f>
        <v/>
      </c>
      <c r="F6" s="19">
        <f>AVERAGEIF('Ground Truth'!A$2:A$31,A6,'Ground Truth'!H$2:H$31)</f>
        <v/>
      </c>
      <c r="G6" s="19">
        <f>AVERAGEIFS('Your Results'!H$2:H$31,'Your Results'!A$2:A$31,A6,'Your Results'!H$2:H$31,"&lt;&gt;"&amp;"")</f>
        <v/>
      </c>
      <c r="H6" s="19">
        <f>IFERROR(G6-F6,"")</f>
        <v/>
      </c>
      <c r="I6" s="19" t="inlineStr"/>
      <c r="J6" s="19" t="inlineStr"/>
    </row>
    <row r="7">
      <c r="A7" s="17" t="inlineStr">
        <is>
          <t>JD005</t>
        </is>
      </c>
      <c r="B7" s="18" t="inlineStr">
        <is>
          <t>DevOps/Cloud Engineer</t>
        </is>
      </c>
      <c r="C7" s="17" t="n">
        <v>6</v>
      </c>
      <c r="D7" s="17">
        <f>COUNTIFS('Your Results'!A$2:A$31,A7,'Your Results'!Q$2:Q$31,"Y")</f>
        <v/>
      </c>
      <c r="E7" s="17">
        <f>COUNTIFS('Your Results'!A$2:A$31,A7,'Your Results'!F$2:F$31,"Strong",'Your Results'!P$2:P$31,"&lt;="&amp;2)</f>
        <v/>
      </c>
      <c r="F7" s="17">
        <f>AVERAGEIF('Ground Truth'!A$2:A$31,A7,'Ground Truth'!H$2:H$31)</f>
        <v/>
      </c>
      <c r="G7" s="17">
        <f>AVERAGEIFS('Your Results'!H$2:H$31,'Your Results'!A$2:A$31,A7,'Your Results'!H$2:H$31,"&lt;&gt;"&amp;"")</f>
        <v/>
      </c>
      <c r="H7" s="17">
        <f>IFERROR(G7-F7,"")</f>
        <v/>
      </c>
      <c r="I7" s="17" t="inlineStr"/>
      <c r="J7" s="17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0" customWidth="1" min="3" max="3"/>
  </cols>
  <sheetData>
    <row r="1">
      <c r="A1" s="16" t="inlineStr">
        <is>
          <t>Scoring Rubric Reference (max 100 pts)</t>
        </is>
      </c>
    </row>
    <row r="2" ht="20" customHeight="1">
      <c r="A2" s="21" t="inlineStr">
        <is>
          <t>Category</t>
        </is>
      </c>
      <c r="B2" s="21" t="inlineStr">
        <is>
          <t>Max</t>
        </is>
      </c>
      <c r="C2" s="22" t="inlineStr">
        <is>
          <t>Scoring Guide</t>
        </is>
      </c>
    </row>
    <row r="3" ht="40" customHeight="1">
      <c r="A3" s="19" t="inlineStr">
        <is>
          <t>experience</t>
        </is>
      </c>
      <c r="B3" s="19" t="inlineStr">
        <is>
          <t>25</t>
        </is>
      </c>
      <c r="C3" s="23" t="inlineStr">
        <is>
          <t>25=meets/exceeds required yrs exact domain + impactful bullets | 18=meets yrs but thin OR slightly under with strong detail | 10=2-4yr relevant OR 5+yr adjacent | 4=under 2yr or vague | 0=no relevant exp</t>
        </is>
      </c>
    </row>
    <row r="4" ht="40" customHeight="1">
      <c r="A4" s="17" t="inlineStr">
        <is>
          <t>technicalSkills</t>
        </is>
      </c>
      <c r="B4" s="17" t="inlineStr">
        <is>
          <t>30</t>
        </is>
      </c>
      <c r="C4" s="24" t="inlineStr">
        <is>
          <t>28-30=≥80% required skills with demonstrated use | 20-27=50-79% present | 10-19=25-49% present | 1-9=&lt;25% | 0=none. FLOOR: 2+ required skills absent→≤18; 3+ absent→≤12</t>
        </is>
      </c>
    </row>
    <row r="5" ht="40" customHeight="1">
      <c r="A5" s="19" t="inlineStr">
        <is>
          <t>certifications</t>
        </is>
      </c>
      <c r="B5" s="19" t="inlineStr">
        <is>
          <t>15</t>
        </is>
      </c>
      <c r="C5" s="23" t="inlineStr">
        <is>
          <t>15=ALL required certs present | 8=some required certs OR strong equivalents | 3=certs exist but none match JD | 0=none. FLOOR: any explicitly required cert absent→≤8</t>
        </is>
      </c>
    </row>
    <row r="6" ht="40" customHeight="1">
      <c r="A6" s="17" t="inlineStr">
        <is>
          <t>education</t>
        </is>
      </c>
      <c r="B6" s="17" t="inlineStr">
        <is>
          <t>10</t>
        </is>
      </c>
      <c r="C6" s="24" t="inlineStr">
        <is>
          <t>10=directly relevant degree (CS/IT/Engineering) | 7=related field | 4=any bachelors | 1=no degree/unrelated | 0=not mentioned</t>
        </is>
      </c>
    </row>
    <row r="7" ht="40" customHeight="1">
      <c r="A7" s="19" t="inlineStr">
        <is>
          <t>location</t>
        </is>
      </c>
      <c r="B7" s="19" t="inlineStr">
        <is>
          <t>10</t>
        </is>
      </c>
      <c r="C7" s="23" t="inlineStr">
        <is>
          <t>10=explicitly matches JD location | 6=states remote OK or open to relocation | 3=location not stated or no match | 0=explicitly cannot relocate when JD requires on-site. FLOOR: no location match→≤3</t>
        </is>
      </c>
    </row>
    <row r="8" ht="40" customHeight="1">
      <c r="A8" s="17" t="inlineStr">
        <is>
          <t>domainFit</t>
        </is>
      </c>
      <c r="B8" s="17" t="inlineStr">
        <is>
          <t>10</t>
        </is>
      </c>
      <c r="C8" s="24" t="inlineStr">
        <is>
          <t>10=entire career in exact industry/platform JD targets | 7=mostly right domain minor detours | 4=partially relevant mixed bg | 1=adjacent domain transferable skills | 0=completely different industry</t>
        </is>
      </c>
    </row>
    <row r="9" ht="20" customHeight="1">
      <c r="A9" s="25" t="inlineStr"/>
      <c r="B9" s="25" t="inlineStr"/>
      <c r="C9" s="26" t="inlineStr"/>
    </row>
    <row r="10" ht="20" customHeight="1">
      <c r="A10" s="21" t="inlineStr">
        <is>
          <t>Score Range</t>
        </is>
      </c>
      <c r="B10" s="21" t="inlineStr">
        <is>
          <t>Level</t>
        </is>
      </c>
      <c r="C10" s="22" t="inlineStr">
        <is>
          <t>Interpretation</t>
        </is>
      </c>
    </row>
    <row r="11" ht="20" customHeight="1">
      <c r="A11" s="19" t="inlineStr">
        <is>
          <t>75-100</t>
        </is>
      </c>
      <c r="B11" s="19" t="inlineStr">
        <is>
          <t>Strong</t>
        </is>
      </c>
      <c r="C11" s="23" t="inlineStr">
        <is>
          <t>Most/all requirements met — shortlist immediately</t>
        </is>
      </c>
    </row>
    <row r="12" ht="20" customHeight="1">
      <c r="A12" s="17" t="inlineStr">
        <is>
          <t>45-74</t>
        </is>
      </c>
      <c r="B12" s="17" t="inlineStr">
        <is>
          <t>Medium</t>
        </is>
      </c>
      <c r="C12" s="24" t="inlineStr">
        <is>
          <t>Core skills present but notable gaps — consider with caveats</t>
        </is>
      </c>
    </row>
    <row r="13" ht="20" customHeight="1">
      <c r="A13" s="19" t="inlineStr">
        <is>
          <t>0-44</t>
        </is>
      </c>
      <c r="B13" s="19" t="inlineStr">
        <is>
          <t>Weak</t>
        </is>
      </c>
      <c r="C13" s="23" t="inlineStr">
        <is>
          <t>Largely irrelevant background — reject for this role</t>
        </is>
      </c>
    </row>
    <row r="14" ht="20" customHeight="1">
      <c r="A14" s="25" t="inlineStr"/>
      <c r="B14" s="25" t="inlineStr"/>
      <c r="C14" s="26" t="inlineStr"/>
    </row>
    <row r="15" ht="20" customHeight="1">
      <c r="A15" s="21" t="inlineStr">
        <is>
          <t>Hard Floor Rules</t>
        </is>
      </c>
      <c r="B15" s="21" t="inlineStr"/>
      <c r="C15" s="22" t="inlineStr">
        <is>
          <t>Apply BEFORE assigning scores</t>
        </is>
      </c>
    </row>
    <row r="16" ht="20" customHeight="1">
      <c r="A16" s="17" t="inlineStr">
        <is>
          <t>Experience</t>
        </is>
      </c>
      <c r="B16" s="17" t="inlineStr"/>
      <c r="C16" s="24" t="inlineStr">
        <is>
          <t>Resume yrs &lt; JD required yrs → experience ≤ 18</t>
        </is>
      </c>
    </row>
    <row r="17" ht="20" customHeight="1">
      <c r="A17" s="19" t="inlineStr">
        <is>
          <t>Tech Skills (2 missing)</t>
        </is>
      </c>
      <c r="B17" s="19" t="inlineStr"/>
      <c r="C17" s="23" t="inlineStr">
        <is>
          <t>2+ required skills absent → technicalSkills ≤ 18</t>
        </is>
      </c>
    </row>
    <row r="18" ht="20" customHeight="1">
      <c r="A18" s="17" t="inlineStr">
        <is>
          <t>Tech Skills (3 missing)</t>
        </is>
      </c>
      <c r="B18" s="17" t="inlineStr"/>
      <c r="C18" s="24" t="inlineStr">
        <is>
          <t>3+ required skills absent → technicalSkills ≤ 12</t>
        </is>
      </c>
    </row>
    <row r="19" ht="20" customHeight="1">
      <c r="A19" s="19" t="inlineStr">
        <is>
          <t>Certifications</t>
        </is>
      </c>
      <c r="B19" s="19" t="inlineStr"/>
      <c r="C19" s="23" t="inlineStr">
        <is>
          <t>Any explicitly required cert absent → certifications ≤ 8</t>
        </is>
      </c>
    </row>
    <row r="20" ht="20" customHeight="1">
      <c r="A20" s="17" t="inlineStr">
        <is>
          <t>Location</t>
        </is>
      </c>
      <c r="B20" s="17" t="inlineStr"/>
      <c r="C20" s="24" t="inlineStr">
        <is>
          <t>No location match / not stated → location ≤ 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2026-05-28T17:43:15Z</dcterms:created>
  <dcterms:modified xmlns:dcterms="http://purl.org/dc/terms/" xmlns:xsi="http://www.w3.org/2001/XMLSchema-instance" xsi:type="dcterms:W3CDTF">2026-05-28T17:43:15Z</dcterms:modified>
</cp:coreProperties>
</file>