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r Evaluation" sheetId="1" state="visible" r:id="rId1"/>
    <sheet xmlns:r="http://schemas.openxmlformats.org/officeDocument/2006/relationships" name="Summary by JD" sheetId="2" state="visible" r:id="rId2"/>
    <sheet xmlns:r="http://schemas.openxmlformats.org/officeDocument/2006/relationships" name="Legend &amp;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3c6e"/>
      <sz val="14"/>
    </font>
    <font>
      <name val="Arial"/>
      <sz val="10"/>
    </font>
    <font>
      <name val="Arial"/>
      <b val="1"/>
      <color rgb="001a3c6e"/>
      <sz val="13"/>
    </font>
  </fonts>
  <fills count="8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4" fillId="7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0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6" customWidth="1" min="10" max="10"/>
    <col width="14" customWidth="1" min="11" max="11"/>
    <col width="10" customWidth="1" min="12" max="12"/>
    <col width="25" customWidth="1" min="13" max="13"/>
  </cols>
  <sheetData>
    <row r="1" ht="40" customHeight="1">
      <c r="A1" s="1" t="inlineStr">
        <is>
          <t>JD ID</t>
        </is>
      </c>
      <c r="B1" s="1" t="inlineStr">
        <is>
          <t>JD Title</t>
        </is>
      </c>
      <c r="C1" s="1" t="inlineStr">
        <is>
          <t>Resume ID</t>
        </is>
      </c>
      <c r="D1" s="1" t="inlineStr">
        <is>
          <t>Candidate Name</t>
        </is>
      </c>
      <c r="E1" s="1" t="inlineStr">
        <is>
          <t>Ground Truth
Match Level</t>
        </is>
      </c>
      <c r="F1" s="1" t="inlineStr">
        <is>
          <t>Ground Truth
Score (1-10)</t>
        </is>
      </c>
      <c r="G1" s="1" t="inlineStr">
        <is>
          <t>Key Match Reasons</t>
        </is>
      </c>
      <c r="H1" s="1" t="inlineStr">
        <is>
          <t>Your System
Score</t>
        </is>
      </c>
      <c r="I1" s="1" t="inlineStr">
        <is>
          <t>Your System
Rank per JD</t>
        </is>
      </c>
      <c r="J1" s="1" t="inlineStr">
        <is>
          <t>Your System
Match Level</t>
        </is>
      </c>
      <c r="K1" s="1" t="inlineStr">
        <is>
          <t>Match
Correct? (Y/N)</t>
        </is>
      </c>
      <c r="L1" s="1" t="inlineStr">
        <is>
          <t>Score
Diff</t>
        </is>
      </c>
      <c r="M1" s="1" t="inlineStr">
        <is>
          <t>Notes</t>
        </is>
      </c>
    </row>
    <row r="2" ht="30" customHeight="1">
      <c r="A2" s="2" t="inlineStr">
        <is>
          <t>JD001</t>
        </is>
      </c>
      <c r="B2" s="2" t="inlineStr">
        <is>
          <t>Software Engineer</t>
        </is>
      </c>
      <c r="C2" s="2" t="inlineStr">
        <is>
          <t>R001</t>
        </is>
      </c>
      <c r="D2" s="3" t="inlineStr">
        <is>
          <t>Arjun Mehta</t>
        </is>
      </c>
      <c r="E2" s="2" t="inlineStr">
        <is>
          <t>Strong</t>
        </is>
      </c>
      <c r="F2" s="2" t="n">
        <v>9</v>
      </c>
      <c r="G2" s="4" t="inlineStr">
        <is>
          <t>4yr backend Python/FastAPI, PostgreSQL, Docker, AWS, Redis - exact match. Production scale experience.</t>
        </is>
      </c>
      <c r="H2" s="2" t="inlineStr"/>
      <c r="I2" s="2" t="inlineStr"/>
      <c r="J2" s="2" t="inlineStr"/>
      <c r="K2" s="2" t="inlineStr"/>
      <c r="L2" s="2">
        <f>IF(H2="","",IF(J2=E2,"Y","N"))</f>
        <v/>
      </c>
      <c r="M2" s="3">
        <f>IF(H2="","",H2-F2)</f>
        <v/>
      </c>
      <c r="N2" s="3" t="inlineStr"/>
    </row>
    <row r="3" ht="30" customHeight="1">
      <c r="A3" s="2" t="inlineStr">
        <is>
          <t>JD001</t>
        </is>
      </c>
      <c r="B3" s="2" t="inlineStr">
        <is>
          <t>Software Engineer</t>
        </is>
      </c>
      <c r="C3" s="2" t="inlineStr">
        <is>
          <t>R002</t>
        </is>
      </c>
      <c r="D3" s="3" t="inlineStr">
        <is>
          <t>Priya Nair</t>
        </is>
      </c>
      <c r="E3" s="2" t="inlineStr">
        <is>
          <t>Strong</t>
        </is>
      </c>
      <c r="F3" s="2" t="n">
        <v>9</v>
      </c>
      <c r="G3" s="4" t="inlineStr">
        <is>
          <t>5yr Java Spring Boot + Python Django, MySQL/PostgreSQL, Docker/AWS, Kafka. Microservices and Agile experience.</t>
        </is>
      </c>
      <c r="H3" s="2" t="inlineStr"/>
      <c r="I3" s="2" t="inlineStr"/>
      <c r="J3" s="2" t="inlineStr"/>
      <c r="K3" s="2" t="inlineStr"/>
      <c r="L3" s="2">
        <f>IF(H3="","",IF(J3=E3,"Y","N"))</f>
        <v/>
      </c>
      <c r="M3" s="3">
        <f>IF(H3="","",H3-F3)</f>
        <v/>
      </c>
      <c r="N3" s="3" t="inlineStr"/>
    </row>
    <row r="4" ht="30" customHeight="1">
      <c r="A4" s="5" t="inlineStr">
        <is>
          <t>JD001</t>
        </is>
      </c>
      <c r="B4" s="5" t="inlineStr">
        <is>
          <t>Software Engineer</t>
        </is>
      </c>
      <c r="C4" s="5" t="inlineStr">
        <is>
          <t>R003</t>
        </is>
      </c>
      <c r="D4" s="6" t="inlineStr">
        <is>
          <t>Rohit Sharma</t>
        </is>
      </c>
      <c r="E4" s="5" t="inlineStr">
        <is>
          <t>Medium</t>
        </is>
      </c>
      <c r="F4" s="5" t="n">
        <v>5</v>
      </c>
      <c r="G4" s="7" t="inlineStr">
        <is>
          <t>Full stack - Node.js backend is relevant but not Python/Java. MongoDB primary DB. Mostly frontend-focused role.</t>
        </is>
      </c>
      <c r="H4" s="5" t="inlineStr"/>
      <c r="I4" s="5" t="inlineStr"/>
      <c r="J4" s="5" t="inlineStr"/>
      <c r="K4" s="5" t="inlineStr"/>
      <c r="L4" s="5">
        <f>IF(H4="","",IF(J4=E4,"Y","N"))</f>
        <v/>
      </c>
      <c r="M4" s="6">
        <f>IF(H4="","",H4-F4)</f>
        <v/>
      </c>
      <c r="N4" s="6" t="inlineStr"/>
    </row>
    <row r="5" ht="30" customHeight="1">
      <c r="A5" s="5" t="inlineStr">
        <is>
          <t>JD001</t>
        </is>
      </c>
      <c r="B5" s="5" t="inlineStr">
        <is>
          <t>Software Engineer</t>
        </is>
      </c>
      <c r="C5" s="5" t="inlineStr">
        <is>
          <t>R004</t>
        </is>
      </c>
      <c r="D5" s="6" t="inlineStr">
        <is>
          <t>Sneha Patel</t>
        </is>
      </c>
      <c r="E5" s="5" t="inlineStr">
        <is>
          <t>Medium</t>
        </is>
      </c>
      <c r="F5" s="5" t="n">
        <v>5</v>
      </c>
      <c r="G5" s="7" t="inlineStr">
        <is>
          <t>Flask Python backend is relevant. Lacks scale and production depth. Mixed full stack background.</t>
        </is>
      </c>
      <c r="H5" s="5" t="inlineStr"/>
      <c r="I5" s="5" t="inlineStr"/>
      <c r="J5" s="5" t="inlineStr"/>
      <c r="K5" s="5" t="inlineStr"/>
      <c r="L5" s="5">
        <f>IF(H5="","",IF(J5=E5,"Y","N"))</f>
        <v/>
      </c>
      <c r="M5" s="6">
        <f>IF(H5="","",H5-F5)</f>
        <v/>
      </c>
      <c r="N5" s="6" t="inlineStr"/>
    </row>
    <row r="6" ht="30" customHeight="1">
      <c r="A6" s="8" t="inlineStr">
        <is>
          <t>JD001</t>
        </is>
      </c>
      <c r="B6" s="8" t="inlineStr">
        <is>
          <t>Software Engineer</t>
        </is>
      </c>
      <c r="C6" s="8" t="inlineStr">
        <is>
          <t>R005</t>
        </is>
      </c>
      <c r="D6" s="9" t="inlineStr">
        <is>
          <t>Karan Joshi</t>
        </is>
      </c>
      <c r="E6" s="8" t="inlineStr">
        <is>
          <t>Weak</t>
        </is>
      </c>
      <c r="F6" s="8" t="n">
        <v>2</v>
      </c>
      <c r="G6" s="10" t="inlineStr">
        <is>
          <t>Android developer. No backend API or server-side development experience.</t>
        </is>
      </c>
      <c r="H6" s="8" t="inlineStr"/>
      <c r="I6" s="8" t="inlineStr"/>
      <c r="J6" s="8" t="inlineStr"/>
      <c r="K6" s="8" t="inlineStr"/>
      <c r="L6" s="8">
        <f>IF(H6="","",IF(J6=E6,"Y","N"))</f>
        <v/>
      </c>
      <c r="M6" s="9">
        <f>IF(H6="","",H6-F6)</f>
        <v/>
      </c>
      <c r="N6" s="9" t="inlineStr"/>
    </row>
    <row r="7" ht="30" customHeight="1">
      <c r="A7" s="8" t="inlineStr">
        <is>
          <t>JD001</t>
        </is>
      </c>
      <c r="B7" s="8" t="inlineStr">
        <is>
          <t>Software Engineer</t>
        </is>
      </c>
      <c r="C7" s="8" t="inlineStr">
        <is>
          <t>R006</t>
        </is>
      </c>
      <c r="D7" s="9" t="inlineStr">
        <is>
          <t>Anita Rao</t>
        </is>
      </c>
      <c r="E7" s="8" t="inlineStr">
        <is>
          <t>Weak</t>
        </is>
      </c>
      <c r="F7" s="8" t="n">
        <v>1</v>
      </c>
      <c r="G7" s="10" t="inlineStr">
        <is>
          <t>QA engineer. Testing background with no backend development skills.</t>
        </is>
      </c>
      <c r="H7" s="8" t="inlineStr"/>
      <c r="I7" s="8" t="inlineStr"/>
      <c r="J7" s="8" t="inlineStr"/>
      <c r="K7" s="8" t="inlineStr"/>
      <c r="L7" s="8">
        <f>IF(H7="","",IF(J7=E7,"Y","N"))</f>
        <v/>
      </c>
      <c r="M7" s="9">
        <f>IF(H7="","",H7-F7)</f>
        <v/>
      </c>
      <c r="N7" s="9" t="inlineStr"/>
    </row>
    <row r="8" ht="30" customHeight="1">
      <c r="A8" s="2" t="inlineStr">
        <is>
          <t>JD002</t>
        </is>
      </c>
      <c r="B8" s="2" t="inlineStr">
        <is>
          <t>AI Engineer</t>
        </is>
      </c>
      <c r="C8" s="2" t="inlineStr">
        <is>
          <t>R007</t>
        </is>
      </c>
      <c r="D8" s="3" t="inlineStr">
        <is>
          <t>Vikram Iyer</t>
        </is>
      </c>
      <c r="E8" s="2" t="inlineStr">
        <is>
          <t>Strong</t>
        </is>
      </c>
      <c r="F8" s="2" t="n">
        <v>10</v>
      </c>
      <c r="G8" s="4" t="inlineStr">
        <is>
          <t>Perfect match: RAG pipelines, LangChain, LLaMA fine-tuning, Pinecone, FAISS, MLflow, SageMaker. Production AI experience.</t>
        </is>
      </c>
      <c r="H8" s="2" t="inlineStr"/>
      <c r="I8" s="2" t="inlineStr"/>
      <c r="J8" s="2" t="inlineStr"/>
      <c r="K8" s="2" t="inlineStr"/>
      <c r="L8" s="2">
        <f>IF(H8="","",IF(J8=E8,"Y","N"))</f>
        <v/>
      </c>
      <c r="M8" s="3">
        <f>IF(H8="","",H8-F8)</f>
        <v/>
      </c>
      <c r="N8" s="3" t="inlineStr"/>
    </row>
    <row r="9" ht="30" customHeight="1">
      <c r="A9" s="2" t="inlineStr">
        <is>
          <t>JD002</t>
        </is>
      </c>
      <c r="B9" s="2" t="inlineStr">
        <is>
          <t>AI Engineer</t>
        </is>
      </c>
      <c r="C9" s="2" t="inlineStr">
        <is>
          <t>R008</t>
        </is>
      </c>
      <c r="D9" s="3" t="inlineStr">
        <is>
          <t>Divya Krishnan</t>
        </is>
      </c>
      <c r="E9" s="2" t="inlineStr">
        <is>
          <t>Strong</t>
        </is>
      </c>
      <c r="F9" s="2" t="n">
        <v>9</v>
      </c>
      <c r="G9" s="4" t="inlineStr">
        <is>
          <t>LLM integration, RAG, prompt engineering, HuggingFace, vector search. Strong NLP and AI production experience.</t>
        </is>
      </c>
      <c r="H9" s="2" t="inlineStr"/>
      <c r="I9" s="2" t="inlineStr"/>
      <c r="J9" s="2" t="inlineStr"/>
      <c r="K9" s="2" t="inlineStr"/>
      <c r="L9" s="2">
        <f>IF(H9="","",IF(J9=E9,"Y","N"))</f>
        <v/>
      </c>
      <c r="M9" s="3">
        <f>IF(H9="","",H9-F9)</f>
        <v/>
      </c>
      <c r="N9" s="3" t="inlineStr"/>
    </row>
    <row r="10" ht="30" customHeight="1">
      <c r="A10" s="5" t="inlineStr">
        <is>
          <t>JD002</t>
        </is>
      </c>
      <c r="B10" s="5" t="inlineStr">
        <is>
          <t>AI Engineer</t>
        </is>
      </c>
      <c r="C10" s="5" t="inlineStr">
        <is>
          <t>R009</t>
        </is>
      </c>
      <c r="D10" s="6" t="inlineStr">
        <is>
          <t>Amar Singh</t>
        </is>
      </c>
      <c r="E10" s="5" t="inlineStr">
        <is>
          <t>Medium</t>
        </is>
      </c>
      <c r="F10" s="5" t="n">
        <v>5</v>
      </c>
      <c r="G10" s="7" t="inlineStr">
        <is>
          <t>Traditional ML strong but LLM/RAG exposure is basic. Transitioning to AI engineering.</t>
        </is>
      </c>
      <c r="H10" s="5" t="inlineStr"/>
      <c r="I10" s="5" t="inlineStr"/>
      <c r="J10" s="5" t="inlineStr"/>
      <c r="K10" s="5" t="inlineStr"/>
      <c r="L10" s="5">
        <f>IF(H10="","",IF(J10=E10,"Y","N"))</f>
        <v/>
      </c>
      <c r="M10" s="6">
        <f>IF(H10="","",H10-F10)</f>
        <v/>
      </c>
      <c r="N10" s="6" t="inlineStr"/>
    </row>
    <row r="11" ht="30" customHeight="1">
      <c r="A11" s="5" t="inlineStr">
        <is>
          <t>JD002</t>
        </is>
      </c>
      <c r="B11" s="5" t="inlineStr">
        <is>
          <t>AI Engineer</t>
        </is>
      </c>
      <c r="C11" s="5" t="inlineStr">
        <is>
          <t>R010</t>
        </is>
      </c>
      <c r="D11" s="6" t="inlineStr">
        <is>
          <t>Neha Gupta</t>
        </is>
      </c>
      <c r="E11" s="5" t="inlineStr">
        <is>
          <t>Medium</t>
        </is>
      </c>
      <c r="F11" s="5" t="n">
        <v>5</v>
      </c>
      <c r="G11" s="7" t="inlineStr">
        <is>
          <t>Research LLM background is relevant but lacks production RAG, vector DB, and LangChain/LlamaIndex hands-on.</t>
        </is>
      </c>
      <c r="H11" s="5" t="inlineStr"/>
      <c r="I11" s="5" t="inlineStr"/>
      <c r="J11" s="5" t="inlineStr"/>
      <c r="K11" s="5" t="inlineStr"/>
      <c r="L11" s="5">
        <f>IF(H11="","",IF(J11=E11,"Y","N"))</f>
        <v/>
      </c>
      <c r="M11" s="6">
        <f>IF(H11="","",H11-F11)</f>
        <v/>
      </c>
      <c r="N11" s="6" t="inlineStr"/>
    </row>
    <row r="12" ht="30" customHeight="1">
      <c r="A12" s="8" t="inlineStr">
        <is>
          <t>JD002</t>
        </is>
      </c>
      <c r="B12" s="8" t="inlineStr">
        <is>
          <t>AI Engineer</t>
        </is>
      </c>
      <c r="C12" s="8" t="inlineStr">
        <is>
          <t>R011</t>
        </is>
      </c>
      <c r="D12" s="9" t="inlineStr">
        <is>
          <t>Rajesh Babu</t>
        </is>
      </c>
      <c r="E12" s="8" t="inlineStr">
        <is>
          <t>Weak</t>
        </is>
      </c>
      <c r="F12" s="8" t="n">
        <v>1</v>
      </c>
      <c r="G12" s="10" t="inlineStr">
        <is>
          <t>Business analyst. No AI engineering or technical skills whatsoever.</t>
        </is>
      </c>
      <c r="H12" s="8" t="inlineStr"/>
      <c r="I12" s="8" t="inlineStr"/>
      <c r="J12" s="8" t="inlineStr"/>
      <c r="K12" s="8" t="inlineStr"/>
      <c r="L12" s="8">
        <f>IF(H12="","",IF(J12=E12,"Y","N"))</f>
        <v/>
      </c>
      <c r="M12" s="9">
        <f>IF(H12="","",H12-F12)</f>
        <v/>
      </c>
      <c r="N12" s="9" t="inlineStr"/>
    </row>
    <row r="13" ht="30" customHeight="1">
      <c r="A13" s="8" t="inlineStr">
        <is>
          <t>JD002</t>
        </is>
      </c>
      <c r="B13" s="8" t="inlineStr">
        <is>
          <t>AI Engineer</t>
        </is>
      </c>
      <c r="C13" s="8" t="inlineStr">
        <is>
          <t>R012</t>
        </is>
      </c>
      <c r="D13" s="9" t="inlineStr">
        <is>
          <t>Pooja Menon</t>
        </is>
      </c>
      <c r="E13" s="8" t="inlineStr">
        <is>
          <t>Weak</t>
        </is>
      </c>
      <c r="F13" s="8" t="n">
        <v>1</v>
      </c>
      <c r="G13" s="10" t="inlineStr">
        <is>
          <t>UX designer. Zero engineering or AI/ML background.</t>
        </is>
      </c>
      <c r="H13" s="8" t="inlineStr"/>
      <c r="I13" s="8" t="inlineStr"/>
      <c r="J13" s="8" t="inlineStr"/>
      <c r="K13" s="8" t="inlineStr"/>
      <c r="L13" s="8">
        <f>IF(H13="","",IF(J13=E13,"Y","N"))</f>
        <v/>
      </c>
      <c r="M13" s="9">
        <f>IF(H13="","",H13-F13)</f>
        <v/>
      </c>
      <c r="N13" s="9" t="inlineStr"/>
    </row>
    <row r="14" ht="30" customHeight="1">
      <c r="A14" s="2" t="inlineStr">
        <is>
          <t>JD003</t>
        </is>
      </c>
      <c r="B14" s="2" t="inlineStr">
        <is>
          <t>Data Engineer</t>
        </is>
      </c>
      <c r="C14" s="2" t="inlineStr">
        <is>
          <t>R013</t>
        </is>
      </c>
      <c r="D14" s="3" t="inlineStr">
        <is>
          <t>Suresh Reddy</t>
        </is>
      </c>
      <c r="E14" s="2" t="inlineStr">
        <is>
          <t>Strong</t>
        </is>
      </c>
      <c r="F14" s="2" t="n">
        <v>10</v>
      </c>
      <c r="G14" s="4" t="inlineStr">
        <is>
          <t>Perfect: Spark, Airflow, Snowflake, dbt, Kafka, AWS Redshift, S3. Large-scale data pipeline experience.</t>
        </is>
      </c>
      <c r="H14" s="2" t="inlineStr"/>
      <c r="I14" s="2" t="inlineStr"/>
      <c r="J14" s="2" t="inlineStr"/>
      <c r="K14" s="2" t="inlineStr"/>
      <c r="L14" s="2">
        <f>IF(H14="","",IF(J14=E14,"Y","N"))</f>
        <v/>
      </c>
      <c r="M14" s="3">
        <f>IF(H14="","",H14-F14)</f>
        <v/>
      </c>
      <c r="N14" s="3" t="inlineStr"/>
    </row>
    <row r="15" ht="30" customHeight="1">
      <c r="A15" s="2" t="inlineStr">
        <is>
          <t>JD003</t>
        </is>
      </c>
      <c r="B15" s="2" t="inlineStr">
        <is>
          <t>Data Engineer</t>
        </is>
      </c>
      <c r="C15" s="2" t="inlineStr">
        <is>
          <t>R014</t>
        </is>
      </c>
      <c r="D15" s="3" t="inlineStr">
        <is>
          <t>Kavitha Subramanian</t>
        </is>
      </c>
      <c r="E15" s="2" t="inlineStr">
        <is>
          <t>Strong</t>
        </is>
      </c>
      <c r="F15" s="2" t="n">
        <v>9</v>
      </c>
      <c r="G15" s="4" t="inlineStr">
        <is>
          <t>GCP Dataflow, BigQuery, dbt, Airflow, Delta Lake, Kafka. Strong data engineering with modern stack.</t>
        </is>
      </c>
      <c r="H15" s="2" t="inlineStr"/>
      <c r="I15" s="2" t="inlineStr"/>
      <c r="J15" s="2" t="inlineStr"/>
      <c r="K15" s="2" t="inlineStr"/>
      <c r="L15" s="2">
        <f>IF(H15="","",IF(J15=E15,"Y","N"))</f>
        <v/>
      </c>
      <c r="M15" s="3">
        <f>IF(H15="","",H15-F15)</f>
        <v/>
      </c>
      <c r="N15" s="3" t="inlineStr"/>
    </row>
    <row r="16" ht="30" customHeight="1">
      <c r="A16" s="5" t="inlineStr">
        <is>
          <t>JD003</t>
        </is>
      </c>
      <c r="B16" s="5" t="inlineStr">
        <is>
          <t>Data Engineer</t>
        </is>
      </c>
      <c r="C16" s="5" t="inlineStr">
        <is>
          <t>R015</t>
        </is>
      </c>
      <c r="D16" s="6" t="inlineStr">
        <is>
          <t>Mohit Agarwal</t>
        </is>
      </c>
      <c r="E16" s="5" t="inlineStr">
        <is>
          <t>Medium</t>
        </is>
      </c>
      <c r="F16" s="5" t="n">
        <v>5</v>
      </c>
      <c r="G16" s="7" t="inlineStr">
        <is>
          <t>Strong SQL and Python analyst. Basic Airflow and Spark exposure but lacks production data engineering depth.</t>
        </is>
      </c>
      <c r="H16" s="5" t="inlineStr"/>
      <c r="I16" s="5" t="inlineStr"/>
      <c r="J16" s="5" t="inlineStr"/>
      <c r="K16" s="5" t="inlineStr"/>
      <c r="L16" s="5">
        <f>IF(H16="","",IF(J16=E16,"Y","N"))</f>
        <v/>
      </c>
      <c r="M16" s="6">
        <f>IF(H16="","",H16-F16)</f>
        <v/>
      </c>
      <c r="N16" s="6" t="inlineStr"/>
    </row>
    <row r="17" ht="30" customHeight="1">
      <c r="A17" s="5" t="inlineStr">
        <is>
          <t>JD003</t>
        </is>
      </c>
      <c r="B17" s="5" t="inlineStr">
        <is>
          <t>Data Engineer</t>
        </is>
      </c>
      <c r="C17" s="5" t="inlineStr">
        <is>
          <t>R016</t>
        </is>
      </c>
      <c r="D17" s="6" t="inlineStr">
        <is>
          <t>Rahul Verma</t>
        </is>
      </c>
      <c r="E17" s="5" t="inlineStr">
        <is>
          <t>Medium</t>
        </is>
      </c>
      <c r="F17" s="5" t="n">
        <v>4</v>
      </c>
      <c r="G17" s="7" t="inlineStr">
        <is>
          <t>Python strong but no Spark, Airflow, or cloud data warehouse hands-on. Data engineering adjacent only.</t>
        </is>
      </c>
      <c r="H17" s="5" t="inlineStr"/>
      <c r="I17" s="5" t="inlineStr"/>
      <c r="J17" s="5" t="inlineStr"/>
      <c r="K17" s="5" t="inlineStr"/>
      <c r="L17" s="5">
        <f>IF(H17="","",IF(J17=E17,"Y","N"))</f>
        <v/>
      </c>
      <c r="M17" s="6">
        <f>IF(H17="","",H17-F17)</f>
        <v/>
      </c>
      <c r="N17" s="6" t="inlineStr"/>
    </row>
    <row r="18" ht="30" customHeight="1">
      <c r="A18" s="8" t="inlineStr">
        <is>
          <t>JD003</t>
        </is>
      </c>
      <c r="B18" s="8" t="inlineStr">
        <is>
          <t>Data Engineer</t>
        </is>
      </c>
      <c r="C18" s="8" t="inlineStr">
        <is>
          <t>R017</t>
        </is>
      </c>
      <c r="D18" s="9" t="inlineStr">
        <is>
          <t>Meena Pillai</t>
        </is>
      </c>
      <c r="E18" s="8" t="inlineStr">
        <is>
          <t>Weak</t>
        </is>
      </c>
      <c r="F18" s="8" t="n">
        <v>1</v>
      </c>
      <c r="G18" s="10" t="inlineStr">
        <is>
          <t>Network engineer. Completely unrelated domain - no data skills.</t>
        </is>
      </c>
      <c r="H18" s="8" t="inlineStr"/>
      <c r="I18" s="8" t="inlineStr"/>
      <c r="J18" s="8" t="inlineStr"/>
      <c r="K18" s="8" t="inlineStr"/>
      <c r="L18" s="8">
        <f>IF(H18="","",IF(J18=E18,"Y","N"))</f>
        <v/>
      </c>
      <c r="M18" s="9">
        <f>IF(H18="","",H18-F18)</f>
        <v/>
      </c>
      <c r="N18" s="9" t="inlineStr"/>
    </row>
    <row r="19" ht="30" customHeight="1">
      <c r="A19" s="8" t="inlineStr">
        <is>
          <t>JD003</t>
        </is>
      </c>
      <c r="B19" s="8" t="inlineStr">
        <is>
          <t>Data Engineer</t>
        </is>
      </c>
      <c r="C19" s="8" t="inlineStr">
        <is>
          <t>R018</t>
        </is>
      </c>
      <c r="D19" s="9" t="inlineStr">
        <is>
          <t>Tarun Malhotra</t>
        </is>
      </c>
      <c r="E19" s="8" t="inlineStr">
        <is>
          <t>Weak</t>
        </is>
      </c>
      <c r="F19" s="8" t="n">
        <v>1</v>
      </c>
      <c r="G19" s="10" t="inlineStr">
        <is>
          <t>Frontend developer. No data engineering, Python, or cloud data skills.</t>
        </is>
      </c>
      <c r="H19" s="8" t="inlineStr"/>
      <c r="I19" s="8" t="inlineStr"/>
      <c r="J19" s="8" t="inlineStr"/>
      <c r="K19" s="8" t="inlineStr"/>
      <c r="L19" s="8">
        <f>IF(H19="","",IF(J19=E19,"Y","N"))</f>
        <v/>
      </c>
      <c r="M19" s="9">
        <f>IF(H19="","",H19-F19)</f>
        <v/>
      </c>
      <c r="N19" s="9" t="inlineStr"/>
    </row>
    <row r="20" ht="30" customHeight="1">
      <c r="A20" s="2" t="inlineStr">
        <is>
          <t>JD004</t>
        </is>
      </c>
      <c r="B20" s="2" t="inlineStr">
        <is>
          <t>ServiceNow Engineer</t>
        </is>
      </c>
      <c r="C20" s="2" t="inlineStr">
        <is>
          <t>R019</t>
        </is>
      </c>
      <c r="D20" s="3" t="inlineStr">
        <is>
          <t>Ajay Sharma</t>
        </is>
      </c>
      <c r="E20" s="2" t="inlineStr">
        <is>
          <t>Strong</t>
        </is>
      </c>
      <c r="F20" s="2" t="n">
        <v>10</v>
      </c>
      <c r="G20" s="4" t="inlineStr">
        <is>
          <t>Perfect: 4yr ServiceNow, ITSM, GlideScript, Flow Designer, REST integrations, CSA+CAD certified.</t>
        </is>
      </c>
      <c r="H20" s="2" t="inlineStr"/>
      <c r="I20" s="2" t="inlineStr"/>
      <c r="J20" s="2" t="inlineStr"/>
      <c r="K20" s="2" t="inlineStr"/>
      <c r="L20" s="2">
        <f>IF(H20="","",IF(J20=E20,"Y","N"))</f>
        <v/>
      </c>
      <c r="M20" s="3">
        <f>IF(H20="","",H20-F20)</f>
        <v/>
      </c>
      <c r="N20" s="3" t="inlineStr"/>
    </row>
    <row r="21" ht="30" customHeight="1">
      <c r="A21" s="2" t="inlineStr">
        <is>
          <t>JD004</t>
        </is>
      </c>
      <c r="B21" s="2" t="inlineStr">
        <is>
          <t>ServiceNow Engineer</t>
        </is>
      </c>
      <c r="C21" s="2" t="inlineStr">
        <is>
          <t>R020</t>
        </is>
      </c>
      <c r="D21" s="3" t="inlineStr">
        <is>
          <t>Shalini Reddy</t>
        </is>
      </c>
      <c r="E21" s="2" t="inlineStr">
        <is>
          <t>Strong</t>
        </is>
      </c>
      <c r="F21" s="2" t="n">
        <v>9</v>
      </c>
      <c r="G21" s="4" t="inlineStr">
        <is>
          <t>5yr ServiceNow consulting, ITSM+HRSD+CSM, Scripted REST APIs, Discovery, CSA certified.</t>
        </is>
      </c>
      <c r="H21" s="2" t="inlineStr"/>
      <c r="I21" s="2" t="inlineStr"/>
      <c r="J21" s="2" t="inlineStr"/>
      <c r="K21" s="2" t="inlineStr"/>
      <c r="L21" s="2">
        <f>IF(H21="","",IF(J21=E21,"Y","N"))</f>
        <v/>
      </c>
      <c r="M21" s="3">
        <f>IF(H21="","",H21-F21)</f>
        <v/>
      </c>
      <c r="N21" s="3" t="inlineStr"/>
    </row>
    <row r="22" ht="30" customHeight="1">
      <c r="A22" s="5" t="inlineStr">
        <is>
          <t>JD004</t>
        </is>
      </c>
      <c r="B22" s="5" t="inlineStr">
        <is>
          <t>ServiceNow Engineer</t>
        </is>
      </c>
      <c r="C22" s="5" t="inlineStr">
        <is>
          <t>R021</t>
        </is>
      </c>
      <c r="D22" s="6" t="inlineStr">
        <is>
          <t>Dinesh Kumar</t>
        </is>
      </c>
      <c r="E22" s="5" t="inlineStr">
        <is>
          <t>Medium</t>
        </is>
      </c>
      <c r="F22" s="5" t="n">
        <v>4</v>
      </c>
      <c r="G22" s="7" t="inlineStr">
        <is>
          <t>ITIL knowledge and ServiceNow user experience but limited scripting/development. Admin-level only.</t>
        </is>
      </c>
      <c r="H22" s="5" t="inlineStr"/>
      <c r="I22" s="5" t="inlineStr"/>
      <c r="J22" s="5" t="inlineStr"/>
      <c r="K22" s="5" t="inlineStr"/>
      <c r="L22" s="5">
        <f>IF(H22="","",IF(J22=E22,"Y","N"))</f>
        <v/>
      </c>
      <c r="M22" s="6">
        <f>IF(H22="","",H22-F22)</f>
        <v/>
      </c>
      <c r="N22" s="6" t="inlineStr"/>
    </row>
    <row r="23" ht="30" customHeight="1">
      <c r="A23" s="5" t="inlineStr">
        <is>
          <t>JD004</t>
        </is>
      </c>
      <c r="B23" s="5" t="inlineStr">
        <is>
          <t>ServiceNow Engineer</t>
        </is>
      </c>
      <c r="C23" s="5" t="inlineStr">
        <is>
          <t>R022</t>
        </is>
      </c>
      <c r="D23" s="6" t="inlineStr">
        <is>
          <t>Preeti Jain</t>
        </is>
      </c>
      <c r="E23" s="5" t="inlineStr">
        <is>
          <t>Medium</t>
        </is>
      </c>
      <c r="F23" s="5" t="n">
        <v>4</v>
      </c>
      <c r="G23" s="7" t="inlineStr">
        <is>
          <t>Salesforce platform development is transferable (JS, flows, REST APIs) but no ServiceNow experience.</t>
        </is>
      </c>
      <c r="H23" s="5" t="inlineStr"/>
      <c r="I23" s="5" t="inlineStr"/>
      <c r="J23" s="5" t="inlineStr"/>
      <c r="K23" s="5" t="inlineStr"/>
      <c r="L23" s="5">
        <f>IF(H23="","",IF(J23=E23,"Y","N"))</f>
        <v/>
      </c>
      <c r="M23" s="6">
        <f>IF(H23="","",H23-F23)</f>
        <v/>
      </c>
      <c r="N23" s="6" t="inlineStr"/>
    </row>
    <row r="24" ht="30" customHeight="1">
      <c r="A24" s="8" t="inlineStr">
        <is>
          <t>JD004</t>
        </is>
      </c>
      <c r="B24" s="8" t="inlineStr">
        <is>
          <t>ServiceNow Engineer</t>
        </is>
      </c>
      <c r="C24" s="8" t="inlineStr">
        <is>
          <t>R023</t>
        </is>
      </c>
      <c r="D24" s="9" t="inlineStr">
        <is>
          <t>Sunil Tiwari</t>
        </is>
      </c>
      <c r="E24" s="8" t="inlineStr">
        <is>
          <t>Weak</t>
        </is>
      </c>
      <c r="F24" s="8" t="n">
        <v>1</v>
      </c>
      <c r="G24" s="10" t="inlineStr">
        <is>
          <t>SAP consultant. Different enterprise platform, no ServiceNow or ITSM development knowledge.</t>
        </is>
      </c>
      <c r="H24" s="8" t="inlineStr"/>
      <c r="I24" s="8" t="inlineStr"/>
      <c r="J24" s="8" t="inlineStr"/>
      <c r="K24" s="8" t="inlineStr"/>
      <c r="L24" s="8">
        <f>IF(H24="","",IF(J24=E24,"Y","N"))</f>
        <v/>
      </c>
      <c r="M24" s="9">
        <f>IF(H24="","",H24-F24)</f>
        <v/>
      </c>
      <c r="N24" s="9" t="inlineStr"/>
    </row>
    <row r="25" ht="30" customHeight="1">
      <c r="A25" s="8" t="inlineStr">
        <is>
          <t>JD004</t>
        </is>
      </c>
      <c r="B25" s="8" t="inlineStr">
        <is>
          <t>ServiceNow Engineer</t>
        </is>
      </c>
      <c r="C25" s="8" t="inlineStr">
        <is>
          <t>R024</t>
        </is>
      </c>
      <c r="D25" s="9" t="inlineStr">
        <is>
          <t>Nisha Thomas</t>
        </is>
      </c>
      <c r="E25" s="8" t="inlineStr">
        <is>
          <t>Weak</t>
        </is>
      </c>
      <c r="F25" s="8" t="n">
        <v>1</v>
      </c>
      <c r="G25" s="10" t="inlineStr">
        <is>
          <t>HR manager using ServiceNow as business user. Zero technical development skills.</t>
        </is>
      </c>
      <c r="H25" s="8" t="inlineStr"/>
      <c r="I25" s="8" t="inlineStr"/>
      <c r="J25" s="8" t="inlineStr"/>
      <c r="K25" s="8" t="inlineStr"/>
      <c r="L25" s="8">
        <f>IF(H25="","",IF(J25=E25,"Y","N"))</f>
        <v/>
      </c>
      <c r="M25" s="9">
        <f>IF(H25="","",H25-F25)</f>
        <v/>
      </c>
      <c r="N25" s="9" t="inlineStr"/>
    </row>
    <row r="26" ht="30" customHeight="1">
      <c r="A26" s="2" t="inlineStr">
        <is>
          <t>JD005</t>
        </is>
      </c>
      <c r="B26" s="2" t="inlineStr">
        <is>
          <t>DevOps/Cloud Engineer</t>
        </is>
      </c>
      <c r="C26" s="2" t="inlineStr">
        <is>
          <t>R025</t>
        </is>
      </c>
      <c r="D26" s="3" t="inlineStr">
        <is>
          <t>Nikhil Pandey</t>
        </is>
      </c>
      <c r="E26" s="2" t="inlineStr">
        <is>
          <t>Strong</t>
        </is>
      </c>
      <c r="F26" s="2" t="n">
        <v>10</v>
      </c>
      <c r="G26" s="4" t="inlineStr">
        <is>
          <t>Perfect: AWS, Terraform, Kubernetes, GitHub Actions, Prometheus/Grafana, ELK. AWS certified DevOps Pro.</t>
        </is>
      </c>
      <c r="H26" s="2" t="inlineStr"/>
      <c r="I26" s="2" t="inlineStr"/>
      <c r="J26" s="2" t="inlineStr"/>
      <c r="K26" s="2" t="inlineStr"/>
      <c r="L26" s="2">
        <f>IF(H26="","",IF(J26=E26,"Y","N"))</f>
        <v/>
      </c>
      <c r="M26" s="3">
        <f>IF(H26="","",H26-F26)</f>
        <v/>
      </c>
      <c r="N26" s="3" t="inlineStr"/>
    </row>
    <row r="27" ht="30" customHeight="1">
      <c r="A27" s="2" t="inlineStr">
        <is>
          <t>JD005</t>
        </is>
      </c>
      <c r="B27" s="2" t="inlineStr">
        <is>
          <t>DevOps/Cloud Engineer</t>
        </is>
      </c>
      <c r="C27" s="2" t="inlineStr">
        <is>
          <t>R026</t>
        </is>
      </c>
      <c r="D27" s="3" t="inlineStr">
        <is>
          <t>Gayathri Nair</t>
        </is>
      </c>
      <c r="E27" s="2" t="inlineStr">
        <is>
          <t>Strong</t>
        </is>
      </c>
      <c r="F27" s="2" t="n">
        <v>9</v>
      </c>
      <c r="G27" s="4" t="inlineStr">
        <is>
          <t>GCP+Terraform+Kubernetes+ArgoCD+Datadog+Istio. GitOps expert. GCP and CKA certified.</t>
        </is>
      </c>
      <c r="H27" s="2" t="inlineStr"/>
      <c r="I27" s="2" t="inlineStr"/>
      <c r="J27" s="2" t="inlineStr"/>
      <c r="K27" s="2" t="inlineStr"/>
      <c r="L27" s="2">
        <f>IF(H27="","",IF(J27=E27,"Y","N"))</f>
        <v/>
      </c>
      <c r="M27" s="3">
        <f>IF(H27="","",H27-F27)</f>
        <v/>
      </c>
      <c r="N27" s="3" t="inlineStr"/>
    </row>
    <row r="28" ht="30" customHeight="1">
      <c r="A28" s="5" t="inlineStr">
        <is>
          <t>JD005</t>
        </is>
      </c>
      <c r="B28" s="5" t="inlineStr">
        <is>
          <t>DevOps/Cloud Engineer</t>
        </is>
      </c>
      <c r="C28" s="5" t="inlineStr">
        <is>
          <t>R027</t>
        </is>
      </c>
      <c r="D28" s="6" t="inlineStr">
        <is>
          <t>Ashwin Bhat</t>
        </is>
      </c>
      <c r="E28" s="5" t="inlineStr">
        <is>
          <t>Medium</t>
        </is>
      </c>
      <c r="F28" s="5" t="n">
        <v>5</v>
      </c>
      <c r="G28" s="7" t="inlineStr">
        <is>
          <t>Good Linux/AWS/scripting base. Basic Terraform and Jenkins but lacks Kubernetes and monitoring stack depth.</t>
        </is>
      </c>
      <c r="H28" s="5" t="inlineStr"/>
      <c r="I28" s="5" t="inlineStr"/>
      <c r="J28" s="5" t="inlineStr"/>
      <c r="K28" s="5" t="inlineStr"/>
      <c r="L28" s="5">
        <f>IF(H28="","",IF(J28=E28,"Y","N"))</f>
        <v/>
      </c>
      <c r="M28" s="6">
        <f>IF(H28="","",H28-F28)</f>
        <v/>
      </c>
      <c r="N28" s="6" t="inlineStr"/>
    </row>
    <row r="29" ht="30" customHeight="1">
      <c r="A29" s="5" t="inlineStr">
        <is>
          <t>JD005</t>
        </is>
      </c>
      <c r="B29" s="5" t="inlineStr">
        <is>
          <t>DevOps/Cloud Engineer</t>
        </is>
      </c>
      <c r="C29" s="5" t="inlineStr">
        <is>
          <t>R028</t>
        </is>
      </c>
      <c r="D29" s="6" t="inlineStr">
        <is>
          <t>Vivek Sharma</t>
        </is>
      </c>
      <c r="E29" s="5" t="inlineStr">
        <is>
          <t>Medium</t>
        </is>
      </c>
      <c r="F29" s="5" t="n">
        <v>4</v>
      </c>
      <c r="G29" s="7" t="inlineStr">
        <is>
          <t>Python dev with Docker and basic AWS. No Terraform or Kubernetes - not specialized in DevOps.</t>
        </is>
      </c>
      <c r="H29" s="5" t="inlineStr"/>
      <c r="I29" s="5" t="inlineStr"/>
      <c r="J29" s="5" t="inlineStr"/>
      <c r="K29" s="5" t="inlineStr"/>
      <c r="L29" s="5">
        <f>IF(H29="","",IF(J29=E29,"Y","N"))</f>
        <v/>
      </c>
      <c r="M29" s="6">
        <f>IF(H29="","",H29-F29)</f>
        <v/>
      </c>
      <c r="N29" s="6" t="inlineStr"/>
    </row>
    <row r="30" ht="30" customHeight="1">
      <c r="A30" s="8" t="inlineStr">
        <is>
          <t>JD005</t>
        </is>
      </c>
      <c r="B30" s="8" t="inlineStr">
        <is>
          <t>DevOps/Cloud Engineer</t>
        </is>
      </c>
      <c r="C30" s="8" t="inlineStr">
        <is>
          <t>R029</t>
        </is>
      </c>
      <c r="D30" s="9" t="inlineStr">
        <is>
          <t>Ramesh Iyer</t>
        </is>
      </c>
      <c r="E30" s="8" t="inlineStr">
        <is>
          <t>Weak</t>
        </is>
      </c>
      <c r="F30" s="8" t="n">
        <v>1</v>
      </c>
      <c r="G30" s="10" t="inlineStr">
        <is>
          <t>Oracle DBA. Database focus only, no cloud infrastructure or DevOps experience.</t>
        </is>
      </c>
      <c r="H30" s="8" t="inlineStr"/>
      <c r="I30" s="8" t="inlineStr"/>
      <c r="J30" s="8" t="inlineStr"/>
      <c r="K30" s="8" t="inlineStr"/>
      <c r="L30" s="8">
        <f>IF(H30="","",IF(J30=E30,"Y","N"))</f>
        <v/>
      </c>
      <c r="M30" s="9">
        <f>IF(H30="","",H30-F30)</f>
        <v/>
      </c>
      <c r="N30" s="9" t="inlineStr"/>
    </row>
    <row r="31" ht="30" customHeight="1">
      <c r="A31" s="8" t="inlineStr">
        <is>
          <t>JD005</t>
        </is>
      </c>
      <c r="B31" s="8" t="inlineStr">
        <is>
          <t>DevOps/Cloud Engineer</t>
        </is>
      </c>
      <c r="C31" s="8" t="inlineStr">
        <is>
          <t>R030</t>
        </is>
      </c>
      <c r="D31" s="9" t="inlineStr">
        <is>
          <t>Lakshmi Priya</t>
        </is>
      </c>
      <c r="E31" s="8" t="inlineStr">
        <is>
          <t>Weak</t>
        </is>
      </c>
      <c r="F31" s="8" t="n">
        <v>1</v>
      </c>
      <c r="G31" s="10" t="inlineStr">
        <is>
          <t>IT project manager. Manages DevOps projects but no hands-on technical skills.</t>
        </is>
      </c>
      <c r="H31" s="8" t="inlineStr"/>
      <c r="I31" s="8" t="inlineStr"/>
      <c r="J31" s="8" t="inlineStr"/>
      <c r="K31" s="8" t="inlineStr"/>
      <c r="L31" s="8">
        <f>IF(H31="","",IF(J31=E31,"Y","N"))</f>
        <v/>
      </c>
      <c r="M31" s="9">
        <f>IF(H31="","",H31-F31)</f>
        <v/>
      </c>
      <c r="N31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</cols>
  <sheetData>
    <row r="1">
      <c r="A1" s="11" t="inlineStr">
        <is>
          <t>Resume Ranker - Results Summary by JD</t>
        </is>
      </c>
    </row>
    <row r="2" ht="35" customHeight="1">
      <c r="A2" s="1" t="inlineStr">
        <is>
          <t>JD ID</t>
        </is>
      </c>
      <c r="B2" s="1" t="inlineStr">
        <is>
          <t>JD Title</t>
        </is>
      </c>
      <c r="C2" s="1" t="inlineStr">
        <is>
          <t>Total Resumes</t>
        </is>
      </c>
      <c r="D2" s="1" t="inlineStr">
        <is>
          <t>Your Correct Ranks</t>
        </is>
      </c>
      <c r="E2" s="1" t="inlineStr">
        <is>
          <t>Precision@2 (Strong)</t>
        </is>
      </c>
      <c r="F2" s="1" t="inlineStr">
        <is>
          <t>Avg Score Diff</t>
        </is>
      </c>
    </row>
    <row r="3">
      <c r="A3" s="12" t="inlineStr">
        <is>
          <t>JD001</t>
        </is>
      </c>
      <c r="B3" s="12" t="inlineStr">
        <is>
          <t>Software Engineer</t>
        </is>
      </c>
      <c r="C3" s="12" t="n">
        <v>6</v>
      </c>
      <c r="D3" s="12">
        <f>COUNTIFS('Ranker Evaluation'!A:A,A3,'Ranker Evaluation'!K:K,"Y")</f>
        <v/>
      </c>
      <c r="E3" s="12">
        <f>COUNTIFS('Ranker Evaluation'!A:A,A3,'Ranker Evaluation'!E:E,"Strong",'Ranker Evaluation'!I:I,"&lt;="&amp;2)</f>
        <v/>
      </c>
      <c r="F3" s="12">
        <f>AVERAGEIFS('Ranker Evaluation'!L:L,'Ranker Evaluation'!A:A,A3,'Ranker Evaluation'!L:L,"&lt;&gt;"&amp;"")</f>
        <v/>
      </c>
    </row>
    <row r="4">
      <c r="A4" s="13" t="inlineStr">
        <is>
          <t>JD002</t>
        </is>
      </c>
      <c r="B4" s="13" t="inlineStr">
        <is>
          <t>AI Engineer</t>
        </is>
      </c>
      <c r="C4" s="13" t="n">
        <v>6</v>
      </c>
      <c r="D4" s="13">
        <f>COUNTIFS('Ranker Evaluation'!A:A,A4,'Ranker Evaluation'!K:K,"Y")</f>
        <v/>
      </c>
      <c r="E4" s="13">
        <f>COUNTIFS('Ranker Evaluation'!A:A,A4,'Ranker Evaluation'!E:E,"Strong",'Ranker Evaluation'!I:I,"&lt;="&amp;2)</f>
        <v/>
      </c>
      <c r="F4" s="13">
        <f>AVERAGEIFS('Ranker Evaluation'!L:L,'Ranker Evaluation'!A:A,A4,'Ranker Evaluation'!L:L,"&lt;&gt;"&amp;"")</f>
        <v/>
      </c>
    </row>
    <row r="5">
      <c r="A5" s="12" t="inlineStr">
        <is>
          <t>JD003</t>
        </is>
      </c>
      <c r="B5" s="12" t="inlineStr">
        <is>
          <t>Data Engineer</t>
        </is>
      </c>
      <c r="C5" s="12" t="n">
        <v>6</v>
      </c>
      <c r="D5" s="12">
        <f>COUNTIFS('Ranker Evaluation'!A:A,A5,'Ranker Evaluation'!K:K,"Y")</f>
        <v/>
      </c>
      <c r="E5" s="12">
        <f>COUNTIFS('Ranker Evaluation'!A:A,A5,'Ranker Evaluation'!E:E,"Strong",'Ranker Evaluation'!I:I,"&lt;="&amp;2)</f>
        <v/>
      </c>
      <c r="F5" s="12">
        <f>AVERAGEIFS('Ranker Evaluation'!L:L,'Ranker Evaluation'!A:A,A5,'Ranker Evaluation'!L:L,"&lt;&gt;"&amp;"")</f>
        <v/>
      </c>
    </row>
    <row r="6">
      <c r="A6" s="13" t="inlineStr">
        <is>
          <t>JD004</t>
        </is>
      </c>
      <c r="B6" s="13" t="inlineStr">
        <is>
          <t>ServiceNow Engineer</t>
        </is>
      </c>
      <c r="C6" s="13" t="n">
        <v>6</v>
      </c>
      <c r="D6" s="13">
        <f>COUNTIFS('Ranker Evaluation'!A:A,A6,'Ranker Evaluation'!K:K,"Y")</f>
        <v/>
      </c>
      <c r="E6" s="13">
        <f>COUNTIFS('Ranker Evaluation'!A:A,A6,'Ranker Evaluation'!E:E,"Strong",'Ranker Evaluation'!I:I,"&lt;="&amp;2)</f>
        <v/>
      </c>
      <c r="F6" s="13">
        <f>AVERAGEIFS('Ranker Evaluation'!L:L,'Ranker Evaluation'!A:A,A6,'Ranker Evaluation'!L:L,"&lt;&gt;"&amp;"")</f>
        <v/>
      </c>
    </row>
    <row r="7">
      <c r="A7" s="12" t="inlineStr">
        <is>
          <t>JD005</t>
        </is>
      </c>
      <c r="B7" s="12" t="inlineStr">
        <is>
          <t>DevOps/Cloud Engineer</t>
        </is>
      </c>
      <c r="C7" s="12" t="n">
        <v>6</v>
      </c>
      <c r="D7" s="12">
        <f>COUNTIFS('Ranker Evaluation'!A:A,A7,'Ranker Evaluation'!K:K,"Y")</f>
        <v/>
      </c>
      <c r="E7" s="12">
        <f>COUNTIFS('Ranker Evaluation'!A:A,A7,'Ranker Evaluation'!E:E,"Strong",'Ranker Evaluation'!I:I,"&lt;="&amp;2)</f>
        <v/>
      </c>
      <c r="F7" s="12">
        <f>AVERAGEIFS('Ranker Evaluation'!L:L,'Ranker Evaluation'!A:A,A7,'Ranker Evaluation'!L:L,"&lt;&gt;"&amp;"")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4" t="inlineStr">
        <is>
          <t>HOW TO USE THIS TRACKER</t>
        </is>
      </c>
    </row>
    <row r="2">
      <c r="A2" s="15" t="inlineStr">
        <is>
          <t>Sheet</t>
        </is>
      </c>
      <c r="B2" s="15" t="inlineStr">
        <is>
          <t>Description</t>
        </is>
      </c>
    </row>
    <row r="3">
      <c r="A3" s="16" t="inlineStr">
        <is>
          <t>Ranker Evaluation</t>
        </is>
      </c>
      <c r="B3" s="16" t="inlineStr">
        <is>
          <t>Main sheet - fill in YOUR SYSTEM columns H, I, J for each resume</t>
        </is>
      </c>
    </row>
    <row r="4">
      <c r="A4" s="17" t="inlineStr">
        <is>
          <t>Summary by JD</t>
        </is>
      </c>
      <c r="B4" s="17" t="inlineStr">
        <is>
          <t>Auto-calculated accuracy metrics per JD once you fill in your scores</t>
        </is>
      </c>
    </row>
    <row r="5">
      <c r="A5" s="16" t="inlineStr"/>
      <c r="B5" s="16" t="inlineStr"/>
    </row>
    <row r="6">
      <c r="A6" s="15" t="inlineStr">
        <is>
          <t>Column</t>
        </is>
      </c>
      <c r="B6" s="15" t="inlineStr">
        <is>
          <t>What to fill in</t>
        </is>
      </c>
    </row>
    <row r="7">
      <c r="A7" s="16" t="inlineStr">
        <is>
          <t>H - Your System Score</t>
        </is>
      </c>
      <c r="B7" s="16" t="inlineStr">
        <is>
          <t>The similarity/relevance score your ranker outputs (any scale, e.g. 0-1 or 0-10)</t>
        </is>
      </c>
    </row>
    <row r="8">
      <c r="A8" s="17" t="inlineStr">
        <is>
          <t>I - Your System Rank</t>
        </is>
      </c>
      <c r="B8" s="17" t="inlineStr">
        <is>
          <t>Rank position assigned by your ranker for this JD (1=best match, 6=worst)</t>
        </is>
      </c>
    </row>
    <row r="9">
      <c r="A9" s="16" t="inlineStr">
        <is>
          <t>J - Your System Match Level</t>
        </is>
      </c>
      <c r="B9" s="16" t="inlineStr">
        <is>
          <t>Your ranker's classification: Strong / Medium / Weak</t>
        </is>
      </c>
    </row>
    <row r="10">
      <c r="A10" s="17" t="inlineStr">
        <is>
          <t>K - Match Correct?</t>
        </is>
      </c>
      <c r="B10" s="17" t="inlineStr">
        <is>
          <t>Auto-calculated: Y if your match level = ground truth match level</t>
        </is>
      </c>
    </row>
    <row r="11">
      <c r="A11" s="16" t="inlineStr">
        <is>
          <t>L - Score Diff</t>
        </is>
      </c>
      <c r="B11" s="16" t="inlineStr">
        <is>
          <t>Auto-calculated: your score minus ground truth score (shows over/under scoring)</t>
        </is>
      </c>
    </row>
    <row r="12">
      <c r="A12" s="17" t="inlineStr"/>
      <c r="B12" s="17" t="inlineStr"/>
    </row>
    <row r="13">
      <c r="A13" s="15" t="inlineStr">
        <is>
          <t>Match Level</t>
        </is>
      </c>
      <c r="B13" s="15" t="inlineStr">
        <is>
          <t>Meaning</t>
        </is>
      </c>
    </row>
    <row r="14">
      <c r="A14" s="17" t="inlineStr">
        <is>
          <t>Strong (green)</t>
        </is>
      </c>
      <c r="B14" s="17" t="inlineStr">
        <is>
          <t>Score 8-10: Candidate clearly qualifies, most required skills present</t>
        </is>
      </c>
    </row>
    <row r="15">
      <c r="A15" s="16" t="inlineStr">
        <is>
          <t>Medium (yellow)</t>
        </is>
      </c>
      <c r="B15" s="16" t="inlineStr">
        <is>
          <t>Score 4-6: Partial match, adjacent skills, would need upskilling</t>
        </is>
      </c>
    </row>
    <row r="16">
      <c r="A16" s="17" t="inlineStr">
        <is>
          <t>Weak (red)</t>
        </is>
      </c>
      <c r="B16" s="17" t="inlineStr">
        <is>
          <t>Score 1-2: Wrong domain or no relevant skills</t>
        </is>
      </c>
    </row>
    <row r="17">
      <c r="A17" s="16" t="inlineStr"/>
      <c r="B17" s="16" t="inlineStr"/>
    </row>
    <row r="18">
      <c r="A18" s="17" t="inlineStr">
        <is>
          <t>Evaluation Tips</t>
        </is>
      </c>
      <c r="B18" s="17" t="inlineStr"/>
    </row>
    <row r="19">
      <c r="A19" s="16" t="inlineStr">
        <is>
          <t>Precision@2</t>
        </is>
      </c>
      <c r="B19" s="16" t="inlineStr">
        <is>
          <t>Did your ranker put both Strong resumes in top 2 positions for each JD?</t>
        </is>
      </c>
    </row>
    <row r="20">
      <c r="A20" s="17" t="inlineStr">
        <is>
          <t>Avg Score Diff</t>
        </is>
      </c>
      <c r="B20" s="17" t="inlineStr">
        <is>
          <t>Close to 0 = well-calibrated scoring. Positive = over-scoring, Negative = under-scoring</t>
        </is>
      </c>
    </row>
    <row r="21">
      <c r="A21" s="16" t="inlineStr">
        <is>
          <t>Goal</t>
        </is>
      </c>
      <c r="B21" s="16" t="inlineStr">
        <is>
          <t>Aim for 100% Correct Match Level and all Strong resumes ranked 1-2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2026-05-28T17:02:30Z</dcterms:created>
  <dcterms:modified xmlns:dcterms="http://purl.org/dc/terms/" xmlns:xsi="http://www.w3.org/2001/XMLSchema-instance" xsi:type="dcterms:W3CDTF">2026-05-28T17:02:30Z</dcterms:modified>
</cp:coreProperties>
</file>